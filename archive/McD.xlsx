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rid\Desktop\M\Stage 1\McD\"/>
    </mc:Choice>
  </mc:AlternateContent>
  <xr:revisionPtr revIDLastSave="0" documentId="13_ncr:1_{79E59DD2-17BC-4EC1-A33A-A0A31D216C0D}" xr6:coauthVersionLast="47" xr6:coauthVersionMax="47" xr10:uidLastSave="{00000000-0000-0000-0000-000000000000}"/>
  <bookViews>
    <workbookView xWindow="-110" yWindow="-110" windowWidth="19420" windowHeight="11020" firstSheet="9" activeTab="11" xr2:uid="{6266ACD6-BBA5-4E9F-BD3D-FBF289360517}"/>
  </bookViews>
  <sheets>
    <sheet name="Home" sheetId="4" r:id="rId1"/>
    <sheet name="Overview" sheetId="1" r:id="rId2"/>
    <sheet name="Balance Sheet" sheetId="2" r:id="rId3"/>
    <sheet name="CF Statement" sheetId="3" r:id="rId4"/>
    <sheet name="Ratios" sheetId="7" r:id="rId5"/>
    <sheet name="Segment Analysis" sheetId="8" r:id="rId6"/>
    <sheet name="Quarterly Data" sheetId="15" r:id="rId7"/>
    <sheet name="Market Research" sheetId="14" r:id="rId8"/>
    <sheet name="Assumed growth" sheetId="10" r:id="rId9"/>
    <sheet name="Forecast" sheetId="11" r:id="rId10"/>
    <sheet name="References" sheetId="13" r:id="rId11"/>
    <sheet name="Summary" sheetId="12" r:id="rId12"/>
    <sheet name="Outcome Analysis" sheetId="16" r:id="rId13"/>
    <sheet name="Data Source" sheetId="17" r:id="rId14"/>
    <sheet name="Conclusion" sheetId="18" r:id="rId1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1" i="15" l="1"/>
  <c r="H31" i="15"/>
  <c r="F31" i="15"/>
  <c r="D31" i="15"/>
  <c r="B31" i="15"/>
  <c r="B25" i="1"/>
  <c r="B19" i="1"/>
  <c r="G8" i="1"/>
  <c r="C57" i="16"/>
  <c r="C58" i="16"/>
  <c r="C56" i="16"/>
  <c r="C61" i="16" s="1"/>
  <c r="B57" i="16"/>
  <c r="B56" i="16"/>
  <c r="C22" i="17"/>
  <c r="C23" i="17"/>
  <c r="C24" i="17"/>
  <c r="C25" i="17"/>
  <c r="C26" i="17"/>
  <c r="C27" i="17"/>
  <c r="C28" i="17"/>
  <c r="C29" i="17"/>
  <c r="C30" i="17"/>
  <c r="C31" i="17"/>
  <c r="C21" i="17"/>
  <c r="I22" i="16"/>
  <c r="H22" i="16"/>
  <c r="G22" i="16"/>
  <c r="F22" i="16"/>
  <c r="E22" i="16"/>
  <c r="D22" i="16"/>
  <c r="C19" i="16"/>
  <c r="C20" i="16"/>
  <c r="C21" i="16"/>
  <c r="C22" i="16"/>
  <c r="C23" i="16"/>
  <c r="D56" i="16" s="1"/>
  <c r="C24" i="16"/>
  <c r="D57" i="16" s="1"/>
  <c r="C25" i="16"/>
  <c r="D58" i="16" s="1"/>
  <c r="C26" i="16"/>
  <c r="D59" i="16" s="1"/>
  <c r="C27" i="16"/>
  <c r="D60" i="16" s="1"/>
  <c r="C18" i="16"/>
  <c r="B27" i="16"/>
  <c r="C60" i="16" s="1"/>
  <c r="B19" i="16"/>
  <c r="B20" i="16"/>
  <c r="B21" i="16"/>
  <c r="B22" i="16"/>
  <c r="B23" i="16"/>
  <c r="B24" i="16"/>
  <c r="B25" i="16"/>
  <c r="B58" i="16" s="1"/>
  <c r="B26" i="16"/>
  <c r="C59" i="16" s="1"/>
  <c r="B18" i="16"/>
  <c r="K32" i="1"/>
  <c r="K13" i="11"/>
  <c r="K14" i="11" s="1"/>
  <c r="K15" i="11" s="1"/>
  <c r="K16" i="11" s="1"/>
  <c r="K17" i="11" s="1"/>
  <c r="B13" i="11"/>
  <c r="B14" i="11" s="1"/>
  <c r="B15" i="11" s="1"/>
  <c r="B16" i="11" s="1"/>
  <c r="B17" i="11" s="1"/>
  <c r="E8" i="14"/>
  <c r="E9" i="14"/>
  <c r="E10" i="14"/>
  <c r="E11" i="14"/>
  <c r="E7" i="14"/>
  <c r="N13" i="11"/>
  <c r="N14" i="11" s="1"/>
  <c r="J13" i="11"/>
  <c r="J14" i="11" s="1"/>
  <c r="J15" i="11" s="1"/>
  <c r="J16" i="11" s="1"/>
  <c r="J17" i="11" s="1"/>
  <c r="E13" i="11"/>
  <c r="E14" i="11" s="1"/>
  <c r="E15" i="11" s="1"/>
  <c r="E16" i="11" s="1"/>
  <c r="E17" i="11" s="1"/>
  <c r="F17" i="11" s="1"/>
  <c r="B7" i="15"/>
  <c r="B15" i="15" s="1"/>
  <c r="D9" i="14"/>
  <c r="D10" i="14"/>
  <c r="D11" i="14"/>
  <c r="D8" i="14"/>
  <c r="C11" i="1"/>
  <c r="J8" i="3"/>
  <c r="G10" i="1"/>
  <c r="E10" i="1"/>
  <c r="L8" i="1"/>
  <c r="K8" i="1"/>
  <c r="G16" i="1"/>
  <c r="G9" i="1"/>
  <c r="B10" i="1"/>
  <c r="J9" i="1" s="1"/>
  <c r="C11" i="15"/>
  <c r="J24" i="15" s="1"/>
  <c r="J26" i="15" s="1"/>
  <c r="K26" i="15" s="1"/>
  <c r="D11" i="15"/>
  <c r="J28" i="15" s="1"/>
  <c r="K28" i="15" s="1"/>
  <c r="F11" i="15"/>
  <c r="B11" i="15"/>
  <c r="C10" i="15"/>
  <c r="D10" i="15"/>
  <c r="F10" i="15"/>
  <c r="B10" i="15"/>
  <c r="H24" i="15" s="1"/>
  <c r="C9" i="15"/>
  <c r="F24" i="15" s="1"/>
  <c r="F29" i="15" s="1"/>
  <c r="G29" i="15" s="1"/>
  <c r="D9" i="15"/>
  <c r="F9" i="15"/>
  <c r="B9" i="15"/>
  <c r="C8" i="15"/>
  <c r="D8" i="15"/>
  <c r="F8" i="15"/>
  <c r="B8" i="15"/>
  <c r="C7" i="15"/>
  <c r="D7" i="15"/>
  <c r="F7" i="15"/>
  <c r="E41" i="15"/>
  <c r="E9" i="15" s="1"/>
  <c r="E42" i="15"/>
  <c r="E10" i="15" s="1"/>
  <c r="E43" i="15"/>
  <c r="E11" i="15" s="1"/>
  <c r="E40" i="15"/>
  <c r="E8" i="15" s="1"/>
  <c r="E16" i="15" s="1"/>
  <c r="E39" i="15"/>
  <c r="E7" i="15" s="1"/>
  <c r="B35" i="1"/>
  <c r="F35" i="1"/>
  <c r="B96" i="3"/>
  <c r="B85" i="3"/>
  <c r="B76" i="3"/>
  <c r="D101" i="3"/>
  <c r="E101" i="3"/>
  <c r="C101" i="3"/>
  <c r="D96" i="3"/>
  <c r="E96" i="3"/>
  <c r="C96" i="3"/>
  <c r="D85" i="3"/>
  <c r="E85" i="3"/>
  <c r="C85" i="3"/>
  <c r="C30" i="3"/>
  <c r="E30" i="3"/>
  <c r="B30" i="3"/>
  <c r="D76" i="3"/>
  <c r="E76" i="3"/>
  <c r="C76" i="3"/>
  <c r="B21" i="3"/>
  <c r="J26" i="3" s="1"/>
  <c r="F101" i="3"/>
  <c r="F96" i="3"/>
  <c r="F85" i="3"/>
  <c r="F76" i="3"/>
  <c r="E30" i="8"/>
  <c r="D65" i="8"/>
  <c r="E53" i="8"/>
  <c r="B45" i="2"/>
  <c r="B53" i="2"/>
  <c r="B60" i="2" s="1"/>
  <c r="F115" i="2"/>
  <c r="F116" i="2" s="1"/>
  <c r="F107" i="2"/>
  <c r="F100" i="2"/>
  <c r="F87" i="2"/>
  <c r="F82" i="2"/>
  <c r="F76" i="2"/>
  <c r="F53" i="2"/>
  <c r="F60" i="2" s="1"/>
  <c r="G51" i="1"/>
  <c r="G43" i="1"/>
  <c r="G39" i="1"/>
  <c r="G40" i="1"/>
  <c r="G41" i="1"/>
  <c r="G38" i="1"/>
  <c r="G33" i="1"/>
  <c r="G34" i="1"/>
  <c r="C52" i="1"/>
  <c r="D52" i="1"/>
  <c r="E52" i="1"/>
  <c r="F52" i="1"/>
  <c r="D107" i="2"/>
  <c r="C107" i="2"/>
  <c r="B107" i="2"/>
  <c r="E107" i="2"/>
  <c r="D46" i="3"/>
  <c r="D53" i="2"/>
  <c r="C53" i="2"/>
  <c r="K36" i="1"/>
  <c r="K35" i="1"/>
  <c r="K34" i="1"/>
  <c r="K33" i="1"/>
  <c r="C36" i="8"/>
  <c r="D36" i="8"/>
  <c r="E36" i="8"/>
  <c r="C30" i="8"/>
  <c r="D30" i="8"/>
  <c r="F30" i="8"/>
  <c r="C24" i="8"/>
  <c r="D24" i="8"/>
  <c r="E24" i="8"/>
  <c r="F24" i="8"/>
  <c r="C18" i="8"/>
  <c r="D18" i="8"/>
  <c r="E18" i="8"/>
  <c r="F18" i="8"/>
  <c r="C12" i="8"/>
  <c r="D12" i="8"/>
  <c r="E12" i="8"/>
  <c r="F35" i="8"/>
  <c r="F36" i="8" s="1"/>
  <c r="F29" i="8"/>
  <c r="F23" i="8"/>
  <c r="F17" i="8"/>
  <c r="F11" i="8"/>
  <c r="F12" i="8" s="1"/>
  <c r="C70" i="8"/>
  <c r="C71" i="8" s="1"/>
  <c r="D70" i="8"/>
  <c r="D71" i="8" s="1"/>
  <c r="E70" i="8"/>
  <c r="E71" i="8" s="1"/>
  <c r="F70" i="8"/>
  <c r="F71" i="8" s="1"/>
  <c r="B70" i="8"/>
  <c r="C64" i="8"/>
  <c r="C65" i="8" s="1"/>
  <c r="D64" i="8"/>
  <c r="E64" i="8"/>
  <c r="E65" i="8" s="1"/>
  <c r="F64" i="8"/>
  <c r="F65" i="8" s="1"/>
  <c r="B64" i="8"/>
  <c r="C58" i="8"/>
  <c r="C59" i="8" s="1"/>
  <c r="D58" i="8"/>
  <c r="D59" i="8" s="1"/>
  <c r="E58" i="8"/>
  <c r="E59" i="8" s="1"/>
  <c r="F58" i="8"/>
  <c r="B58" i="8"/>
  <c r="C52" i="8"/>
  <c r="C53" i="8" s="1"/>
  <c r="D52" i="8"/>
  <c r="E52" i="8"/>
  <c r="F52" i="8"/>
  <c r="F53" i="8" s="1"/>
  <c r="B52" i="8"/>
  <c r="F46" i="8"/>
  <c r="F47" i="8" s="1"/>
  <c r="E46" i="8"/>
  <c r="C46" i="8"/>
  <c r="D46" i="8"/>
  <c r="D47" i="8" s="1"/>
  <c r="B46" i="8"/>
  <c r="C47" i="8" s="1"/>
  <c r="C27" i="1"/>
  <c r="D27" i="1"/>
  <c r="E27" i="1"/>
  <c r="M8" i="1" s="1"/>
  <c r="F27" i="1"/>
  <c r="N8" i="1" s="1"/>
  <c r="G26" i="1"/>
  <c r="G14" i="1"/>
  <c r="G15" i="1"/>
  <c r="G18" i="1"/>
  <c r="M32" i="3"/>
  <c r="L32" i="3"/>
  <c r="K32" i="3"/>
  <c r="J32" i="3"/>
  <c r="N32" i="3"/>
  <c r="E45" i="2"/>
  <c r="D45" i="2"/>
  <c r="C45" i="2"/>
  <c r="F45" i="2"/>
  <c r="E21" i="3"/>
  <c r="D21" i="3"/>
  <c r="L34" i="3" s="1"/>
  <c r="C21" i="3"/>
  <c r="K28" i="3" s="1"/>
  <c r="F21" i="3"/>
  <c r="D30" i="3"/>
  <c r="B46" i="3"/>
  <c r="C46" i="3"/>
  <c r="C41" i="3"/>
  <c r="B41" i="3"/>
  <c r="E46" i="3"/>
  <c r="F46" i="3"/>
  <c r="E41" i="3"/>
  <c r="D41" i="3"/>
  <c r="F41" i="3"/>
  <c r="F30" i="3"/>
  <c r="E24" i="1"/>
  <c r="D38" i="1"/>
  <c r="D35" i="1"/>
  <c r="D44" i="1" s="1"/>
  <c r="E38" i="1"/>
  <c r="E42" i="1" s="1"/>
  <c r="F13" i="1"/>
  <c r="G13" i="1" s="1"/>
  <c r="E76" i="2"/>
  <c r="D76" i="2"/>
  <c r="C76" i="2"/>
  <c r="B76" i="2"/>
  <c r="E82" i="2"/>
  <c r="D82" i="2"/>
  <c r="C82" i="2"/>
  <c r="B82" i="2"/>
  <c r="E87" i="2"/>
  <c r="D87" i="2"/>
  <c r="C87" i="2"/>
  <c r="B87" i="2"/>
  <c r="E100" i="2"/>
  <c r="D100" i="2"/>
  <c r="C100" i="2"/>
  <c r="B100" i="2"/>
  <c r="E115" i="2"/>
  <c r="E116" i="2" s="1"/>
  <c r="D115" i="2"/>
  <c r="D116" i="2" s="1"/>
  <c r="C115" i="2"/>
  <c r="C116" i="2" s="1"/>
  <c r="B115" i="2"/>
  <c r="B116" i="2" s="1"/>
  <c r="E38" i="2"/>
  <c r="D38" i="2"/>
  <c r="C38" i="2"/>
  <c r="B38" i="2"/>
  <c r="F38" i="2"/>
  <c r="D20" i="2"/>
  <c r="C20" i="2"/>
  <c r="B20" i="2"/>
  <c r="E14" i="2"/>
  <c r="D14" i="2"/>
  <c r="C14" i="2"/>
  <c r="B14" i="2"/>
  <c r="B58" i="2" s="1"/>
  <c r="F14" i="2"/>
  <c r="F58" i="2" s="1"/>
  <c r="E35" i="1"/>
  <c r="E50" i="1" s="1"/>
  <c r="B47" i="1"/>
  <c r="B49" i="1" s="1"/>
  <c r="C47" i="1"/>
  <c r="C49" i="1" s="1"/>
  <c r="D47" i="1"/>
  <c r="D49" i="1" s="1"/>
  <c r="E47" i="1"/>
  <c r="F47" i="1"/>
  <c r="F49" i="1" s="1"/>
  <c r="G49" i="1" s="1"/>
  <c r="B42" i="1"/>
  <c r="G42" i="1" s="1"/>
  <c r="C42" i="1"/>
  <c r="D42" i="1"/>
  <c r="F42" i="1"/>
  <c r="C35" i="1"/>
  <c r="E53" i="2"/>
  <c r="E25" i="2"/>
  <c r="F25" i="2"/>
  <c r="E20" i="2"/>
  <c r="F20" i="2"/>
  <c r="F22" i="1"/>
  <c r="F24" i="1" s="1"/>
  <c r="D24" i="1"/>
  <c r="C24" i="1"/>
  <c r="B24" i="1"/>
  <c r="E17" i="1"/>
  <c r="D17" i="1"/>
  <c r="C17" i="1"/>
  <c r="B17" i="1"/>
  <c r="D10" i="1"/>
  <c r="C10" i="1"/>
  <c r="F10" i="1"/>
  <c r="F19" i="1" s="1"/>
  <c r="N9" i="1" s="1"/>
  <c r="D61" i="16" l="1"/>
  <c r="B60" i="16"/>
  <c r="B59" i="16"/>
  <c r="B61" i="16" s="1"/>
  <c r="H28" i="15"/>
  <c r="I28" i="15" s="1"/>
  <c r="H29" i="15"/>
  <c r="I29" i="15" s="1"/>
  <c r="D27" i="15"/>
  <c r="E27" i="15" s="1"/>
  <c r="H27" i="15"/>
  <c r="I27" i="15" s="1"/>
  <c r="F28" i="15"/>
  <c r="G28" i="15" s="1"/>
  <c r="J29" i="15"/>
  <c r="K29" i="15" s="1"/>
  <c r="B24" i="15"/>
  <c r="B28" i="15" s="1"/>
  <c r="C28" i="15" s="1"/>
  <c r="F27" i="15"/>
  <c r="G27" i="15" s="1"/>
  <c r="D24" i="15"/>
  <c r="D28" i="15" s="1"/>
  <c r="E28" i="15" s="1"/>
  <c r="D29" i="15"/>
  <c r="E29" i="15" s="1"/>
  <c r="J27" i="15"/>
  <c r="K27" i="15" s="1"/>
  <c r="J33" i="15" s="1"/>
  <c r="J35" i="15" s="1"/>
  <c r="H26" i="15"/>
  <c r="I26" i="15" s="1"/>
  <c r="B17" i="15"/>
  <c r="B19" i="15"/>
  <c r="F26" i="15"/>
  <c r="G26" i="15" s="1"/>
  <c r="G17" i="11"/>
  <c r="F13" i="11"/>
  <c r="G13" i="11" s="1"/>
  <c r="F14" i="11"/>
  <c r="G14" i="11" s="1"/>
  <c r="F16" i="11"/>
  <c r="G16" i="11" s="1"/>
  <c r="F15" i="11"/>
  <c r="G15" i="11" s="1"/>
  <c r="N15" i="11"/>
  <c r="O14" i="11"/>
  <c r="P14" i="11" s="1"/>
  <c r="O13" i="11"/>
  <c r="P13" i="11" s="1"/>
  <c r="B13" i="14"/>
  <c r="D17" i="15"/>
  <c r="D15" i="15"/>
  <c r="E15" i="15"/>
  <c r="C15" i="15"/>
  <c r="C17" i="15"/>
  <c r="E19" i="15"/>
  <c r="C18" i="15"/>
  <c r="D19" i="15"/>
  <c r="C19" i="15"/>
  <c r="B16" i="15"/>
  <c r="E17" i="15"/>
  <c r="E18" i="15"/>
  <c r="D18" i="15"/>
  <c r="D16" i="15"/>
  <c r="C16" i="15"/>
  <c r="B18" i="15"/>
  <c r="F19" i="15"/>
  <c r="F15" i="15"/>
  <c r="F17" i="1"/>
  <c r="G17" i="1" s="1"/>
  <c r="D36" i="1"/>
  <c r="E36" i="1"/>
  <c r="F11" i="1"/>
  <c r="N7" i="1" s="1"/>
  <c r="E11" i="1"/>
  <c r="M7" i="1" s="1"/>
  <c r="C36" i="1"/>
  <c r="B44" i="1"/>
  <c r="G35" i="1"/>
  <c r="F50" i="1"/>
  <c r="F44" i="1"/>
  <c r="F36" i="1"/>
  <c r="D53" i="8"/>
  <c r="F59" i="8"/>
  <c r="E47" i="8"/>
  <c r="B89" i="2"/>
  <c r="F89" i="2"/>
  <c r="E60" i="2"/>
  <c r="G24" i="1"/>
  <c r="D11" i="1"/>
  <c r="L7" i="1" s="1"/>
  <c r="K7" i="1"/>
  <c r="F27" i="2"/>
  <c r="F57" i="2" s="1"/>
  <c r="C25" i="1"/>
  <c r="K10" i="1" s="1"/>
  <c r="J34" i="3"/>
  <c r="N34" i="3"/>
  <c r="M34" i="3"/>
  <c r="E58" i="2"/>
  <c r="N21" i="3"/>
  <c r="K16" i="3"/>
  <c r="K8" i="3"/>
  <c r="J21" i="3"/>
  <c r="J19" i="3"/>
  <c r="J28" i="3"/>
  <c r="K31" i="3"/>
  <c r="M31" i="3"/>
  <c r="N8" i="3"/>
  <c r="M19" i="3"/>
  <c r="N11" i="3"/>
  <c r="N13" i="3"/>
  <c r="K21" i="3"/>
  <c r="J11" i="3"/>
  <c r="J13" i="3"/>
  <c r="K23" i="3"/>
  <c r="K11" i="3"/>
  <c r="J16" i="3"/>
  <c r="J31" i="3"/>
  <c r="N28" i="3"/>
  <c r="M23" i="3"/>
  <c r="L11" i="3"/>
  <c r="M16" i="3"/>
  <c r="N26" i="3"/>
  <c r="M11" i="3"/>
  <c r="K13" i="3"/>
  <c r="N19" i="3"/>
  <c r="L21" i="3"/>
  <c r="L28" i="3"/>
  <c r="M28" i="3"/>
  <c r="L23" i="3"/>
  <c r="L16" i="3"/>
  <c r="L13" i="3"/>
  <c r="L8" i="3"/>
  <c r="M13" i="3"/>
  <c r="K19" i="3"/>
  <c r="N23" i="3"/>
  <c r="M26" i="3"/>
  <c r="K26" i="3"/>
  <c r="L31" i="3"/>
  <c r="M21" i="3"/>
  <c r="L26" i="3"/>
  <c r="M8" i="3"/>
  <c r="N16" i="3"/>
  <c r="L19" i="3"/>
  <c r="J23" i="3"/>
  <c r="N31" i="3"/>
  <c r="K34" i="3"/>
  <c r="E89" i="2"/>
  <c r="C89" i="2"/>
  <c r="D89" i="2"/>
  <c r="C58" i="2"/>
  <c r="D58" i="2"/>
  <c r="C60" i="2"/>
  <c r="D60" i="2"/>
  <c r="C27" i="2"/>
  <c r="B27" i="2"/>
  <c r="D27" i="2"/>
  <c r="B50" i="1"/>
  <c r="C44" i="1"/>
  <c r="C50" i="1"/>
  <c r="D50" i="1"/>
  <c r="E27" i="2"/>
  <c r="E25" i="1"/>
  <c r="M10" i="1" s="1"/>
  <c r="D25" i="1"/>
  <c r="L10" i="1" s="1"/>
  <c r="E44" i="1"/>
  <c r="C19" i="1"/>
  <c r="K9" i="1" s="1"/>
  <c r="J10" i="1"/>
  <c r="D19" i="1"/>
  <c r="L9" i="1" s="1"/>
  <c r="E19" i="1"/>
  <c r="M9" i="1" s="1"/>
  <c r="F33" i="15" l="1"/>
  <c r="F35" i="15" s="1"/>
  <c r="B29" i="15"/>
  <c r="C29" i="15" s="1"/>
  <c r="H33" i="15"/>
  <c r="H35" i="15" s="1"/>
  <c r="B27" i="15"/>
  <c r="C27" i="15" s="1"/>
  <c r="F17" i="15"/>
  <c r="B26" i="15"/>
  <c r="C26" i="15" s="1"/>
  <c r="D26" i="15"/>
  <c r="E26" i="15" s="1"/>
  <c r="D33" i="15" s="1"/>
  <c r="D35" i="15" s="1"/>
  <c r="N16" i="11"/>
  <c r="O15" i="11"/>
  <c r="P15" i="11" s="1"/>
  <c r="F56" i="2"/>
  <c r="M7" i="2" s="1"/>
  <c r="B56" i="2"/>
  <c r="I7" i="2" s="1"/>
  <c r="B57" i="2"/>
  <c r="F16" i="15"/>
  <c r="F18" i="15"/>
  <c r="E56" i="2"/>
  <c r="L7" i="2" s="1"/>
  <c r="E57" i="2"/>
  <c r="C56" i="2"/>
  <c r="J7" i="2" s="1"/>
  <c r="C57" i="2"/>
  <c r="D56" i="2"/>
  <c r="K7" i="2" s="1"/>
  <c r="D57" i="2"/>
  <c r="F25" i="1"/>
  <c r="N10" i="1" s="1"/>
  <c r="B33" i="15" l="1"/>
  <c r="B35" i="15" s="1"/>
  <c r="O16" i="11"/>
  <c r="P16" i="11" s="1"/>
  <c r="N17" i="11"/>
  <c r="O17" i="11" s="1"/>
  <c r="P17"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Pranav Joshi</author>
  </authors>
  <commentList>
    <comment ref="G5" authorId="0" shapeId="0" xr:uid="{A0BD34C0-CD75-4CF0-AD2A-CEBEA57FE950}">
      <text>
        <r>
          <rPr>
            <b/>
            <sz val="9"/>
            <color indexed="81"/>
            <rFont val="Tahoma"/>
            <family val="2"/>
          </rPr>
          <t>Pranav Joshi:</t>
        </r>
        <r>
          <rPr>
            <sz val="9"/>
            <color indexed="81"/>
            <rFont val="Tahoma"/>
            <family val="2"/>
          </rPr>
          <t xml:space="preserve">
Compounded Annual Growth Rate.
No.of years: 5 (2014 - 2018).
Formula:
[{(Present year/ Start year)^(1/no.of years)} - 1]*100%</t>
        </r>
      </text>
    </comment>
    <comment ref="A11" authorId="0" shapeId="0" xr:uid="{18D93099-7DD8-4E2F-9F92-4E4B1BE06AE2}">
      <text>
        <r>
          <rPr>
            <b/>
            <sz val="9"/>
            <color indexed="81"/>
            <rFont val="Tahoma"/>
            <family val="2"/>
          </rPr>
          <t>Pranav Joshi:</t>
        </r>
        <r>
          <rPr>
            <sz val="9"/>
            <color indexed="81"/>
            <rFont val="Tahoma"/>
            <family val="2"/>
          </rPr>
          <t xml:space="preserve">
Revenue growth:
({Present year revenue - Past year revenue}/ Past year revenue)*100%</t>
        </r>
      </text>
    </comment>
    <comment ref="A19" authorId="0" shapeId="0" xr:uid="{AA88D61B-E777-41B1-91FF-22C102AD8E8A}">
      <text>
        <r>
          <rPr>
            <b/>
            <sz val="9"/>
            <color indexed="81"/>
            <rFont val="Tahoma"/>
            <family val="2"/>
          </rPr>
          <t>Pranav Joshi:</t>
        </r>
        <r>
          <rPr>
            <sz val="9"/>
            <color indexed="81"/>
            <rFont val="Tahoma"/>
            <family val="2"/>
          </rPr>
          <t xml:space="preserve">
Operating margin:
(Operating income/Toatal revenues)*100%
of the respective year.
</t>
        </r>
      </text>
    </comment>
    <comment ref="A25" authorId="0" shapeId="0" xr:uid="{FFFC4EBF-21EB-421E-A20C-E19237165E03}">
      <text>
        <r>
          <rPr>
            <b/>
            <sz val="9"/>
            <color indexed="81"/>
            <rFont val="Tahoma"/>
            <family val="2"/>
          </rPr>
          <t>Pranav Joshi:</t>
        </r>
        <r>
          <rPr>
            <sz val="9"/>
            <color indexed="81"/>
            <rFont val="Tahoma"/>
            <family val="2"/>
          </rPr>
          <t xml:space="preserve">
Net margin:
(Net income/ Total revenues)*100%
of the respective year.</t>
        </r>
      </text>
    </comment>
    <comment ref="A27" authorId="0" shapeId="0" xr:uid="{CB91F154-BC05-4B18-AEEF-85BA515C2EEF}">
      <text>
        <r>
          <rPr>
            <b/>
            <sz val="9"/>
            <color indexed="81"/>
            <rFont val="Tahoma"/>
            <family val="2"/>
          </rPr>
          <t>Pranav Joshi:</t>
        </r>
        <r>
          <rPr>
            <sz val="9"/>
            <color indexed="81"/>
            <rFont val="Tahoma"/>
            <family val="2"/>
          </rPr>
          <t xml:space="preserve">
EPS growth:
({Present year EPS - Past year EPS}/ Past year EPS)*100%</t>
        </r>
      </text>
    </comment>
    <comment ref="I30" authorId="0" shapeId="0" xr:uid="{BB005F92-E899-4EFA-AEC1-A14380EEC0BD}">
      <text>
        <r>
          <rPr>
            <b/>
            <sz val="9"/>
            <color indexed="81"/>
            <rFont val="Tahoma"/>
            <family val="2"/>
          </rPr>
          <t>Pranav Joshi:</t>
        </r>
        <r>
          <rPr>
            <sz val="9"/>
            <color indexed="81"/>
            <rFont val="Tahoma"/>
            <family val="2"/>
          </rPr>
          <t xml:space="preserve">
CPI: Consumer Price Index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Pranav Joshi</author>
  </authors>
  <commentList>
    <comment ref="B5" authorId="0" shapeId="0" xr:uid="{AD0248C9-8CAA-431E-80A4-13610AAA4266}">
      <text>
        <r>
          <rPr>
            <b/>
            <sz val="9"/>
            <color indexed="81"/>
            <rFont val="Tahoma"/>
            <family val="2"/>
          </rPr>
          <t>Pranav Joshi:</t>
        </r>
        <r>
          <rPr>
            <sz val="9"/>
            <color indexed="81"/>
            <rFont val="Tahoma"/>
            <family val="2"/>
          </rPr>
          <t xml:space="preserve">
Adjusted to the year 2018.
</t>
        </r>
      </text>
    </comment>
    <comment ref="A27" authorId="0" shapeId="0" xr:uid="{93D32C37-BBC8-452B-B054-6327BCD12298}">
      <text>
        <r>
          <rPr>
            <b/>
            <sz val="9"/>
            <color indexed="81"/>
            <rFont val="Tahoma"/>
            <family val="2"/>
          </rPr>
          <t>Pranav Joshi:</t>
        </r>
        <r>
          <rPr>
            <sz val="9"/>
            <color indexed="81"/>
            <rFont val="Tahoma"/>
            <family val="2"/>
          </rPr>
          <t xml:space="preserve">
Total assets:
Net + Total other assets + Total current assets</t>
        </r>
      </text>
    </comment>
    <comment ref="A56" authorId="0" shapeId="0" xr:uid="{92509E3D-AEF1-424B-95E8-291508DA0697}">
      <text>
        <r>
          <rPr>
            <b/>
            <sz val="9"/>
            <color indexed="81"/>
            <rFont val="Tahoma"/>
            <family val="2"/>
          </rPr>
          <t>Pranav Joshi:</t>
        </r>
        <r>
          <rPr>
            <sz val="9"/>
            <color indexed="81"/>
            <rFont val="Tahoma"/>
            <family val="2"/>
          </rPr>
          <t xml:space="preserve">
ROA:
Net income/Total assets</t>
        </r>
      </text>
    </comment>
    <comment ref="A57" authorId="0" shapeId="0" xr:uid="{E0F1E573-878E-4E44-A038-82347197107E}">
      <text>
        <r>
          <rPr>
            <b/>
            <sz val="9"/>
            <color indexed="81"/>
            <rFont val="Tahoma"/>
            <family val="2"/>
          </rPr>
          <t>Pranav Joshi:</t>
        </r>
        <r>
          <rPr>
            <sz val="9"/>
            <color indexed="81"/>
            <rFont val="Tahoma"/>
            <family val="2"/>
          </rPr>
          <t xml:space="preserve">
D/A:
Total debt/total assets
Debt:
Long term debt, other long term liabilities
</t>
        </r>
      </text>
    </comment>
    <comment ref="A58" authorId="0" shapeId="0" xr:uid="{027B1AAB-8063-41C3-88FF-4704D3C1DECC}">
      <text>
        <r>
          <rPr>
            <b/>
            <sz val="9"/>
            <color indexed="81"/>
            <rFont val="Tahoma"/>
            <family val="2"/>
          </rPr>
          <t>Pranav Joshi:</t>
        </r>
        <r>
          <rPr>
            <sz val="9"/>
            <color indexed="81"/>
            <rFont val="Tahoma"/>
            <family val="2"/>
          </rPr>
          <t xml:space="preserve">
Current ratio:
current assets/current liabilities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Pranav Joshi</author>
  </authors>
  <commentList>
    <comment ref="A21" authorId="0" shapeId="0" xr:uid="{4C1842A6-75B9-4CA7-8F1C-2CB687C233CB}">
      <text>
        <r>
          <rPr>
            <b/>
            <sz val="9"/>
            <color indexed="81"/>
            <rFont val="Tahoma"/>
            <family val="2"/>
          </rPr>
          <t>Pranav Joshi:</t>
        </r>
        <r>
          <rPr>
            <sz val="9"/>
            <color indexed="81"/>
            <rFont val="Tahoma"/>
            <family val="2"/>
          </rPr>
          <t xml:space="preserve">
OCF: Operating Cash Flow
</t>
        </r>
      </text>
    </comment>
  </commentList>
</comments>
</file>

<file path=xl/sharedStrings.xml><?xml version="1.0" encoding="utf-8"?>
<sst xmlns="http://schemas.openxmlformats.org/spreadsheetml/2006/main" count="868" uniqueCount="385">
  <si>
    <t>Section</t>
  </si>
  <si>
    <t>Description</t>
  </si>
  <si>
    <t>Link</t>
  </si>
  <si>
    <t>Go to Overview</t>
  </si>
  <si>
    <t>Go to Balance Sheet</t>
  </si>
  <si>
    <t>Go to CF Statemant</t>
  </si>
  <si>
    <t>Go to Ratios</t>
  </si>
  <si>
    <t>Go to Segement Analysis</t>
  </si>
  <si>
    <r>
      <rPr>
        <b/>
        <sz val="11"/>
        <color theme="1"/>
        <rFont val="Calibri"/>
        <family val="2"/>
        <scheme val="minor"/>
      </rPr>
      <t>Date:</t>
    </r>
    <r>
      <rPr>
        <sz val="11"/>
        <color theme="1"/>
        <rFont val="Calibri"/>
        <family val="2"/>
        <scheme val="minor"/>
      </rPr>
      <t xml:space="preserve"> </t>
    </r>
  </si>
  <si>
    <t>Prepared by:</t>
  </si>
  <si>
    <r>
      <rPr>
        <b/>
        <sz val="11"/>
        <color theme="1"/>
        <rFont val="Calibri"/>
        <family val="2"/>
        <scheme val="minor"/>
      </rPr>
      <t>Purpose:</t>
    </r>
    <r>
      <rPr>
        <sz val="11"/>
        <color theme="1"/>
        <rFont val="Calibri"/>
        <family val="2"/>
        <scheme val="minor"/>
      </rPr>
      <t xml:space="preserve"> </t>
    </r>
  </si>
  <si>
    <t>Pranav. J</t>
  </si>
  <si>
    <t>Overview</t>
  </si>
  <si>
    <t>Balance sheet</t>
  </si>
  <si>
    <t>Cash Flow(CF) Statement</t>
  </si>
  <si>
    <t>Ratio Analysis</t>
  </si>
  <si>
    <t>Segment Analysis</t>
  </si>
  <si>
    <t>Assumed growth</t>
  </si>
  <si>
    <t>Forecast</t>
  </si>
  <si>
    <t>Summary</t>
  </si>
  <si>
    <t>Assests, Liabilities and Equity.</t>
  </si>
  <si>
    <t>Cash inflows and outflows.</t>
  </si>
  <si>
    <t>Profitability and leverage ratios.</t>
  </si>
  <si>
    <t>Segment-wise revenue.</t>
  </si>
  <si>
    <t>Go to Assumed growth</t>
  </si>
  <si>
    <t>Go to Forecast</t>
  </si>
  <si>
    <t>Go to Summary</t>
  </si>
  <si>
    <t>Sl. No.</t>
  </si>
  <si>
    <t>Financial Analysis and Forecasting</t>
  </si>
  <si>
    <t>Historical Income data summary.</t>
  </si>
  <si>
    <t>Revenues</t>
  </si>
  <si>
    <t>Sales by Company-operated restaurants</t>
  </si>
  <si>
    <t>Revenues from franchised restaurants</t>
  </si>
  <si>
    <t>Years</t>
  </si>
  <si>
    <t>Total revenues</t>
  </si>
  <si>
    <t>Go to Home</t>
  </si>
  <si>
    <t>Operating costs and expenses</t>
  </si>
  <si>
    <t>Company operated expenses</t>
  </si>
  <si>
    <t>Franchised expenses</t>
  </si>
  <si>
    <t>Selling, general &amp; administrative expenses</t>
  </si>
  <si>
    <t>Others</t>
  </si>
  <si>
    <t>Toatal operating costs and expenses</t>
  </si>
  <si>
    <t>Operating income</t>
  </si>
  <si>
    <t>Interest expense</t>
  </si>
  <si>
    <t>Nonoperating expense</t>
  </si>
  <si>
    <t>Income before income taxes</t>
  </si>
  <si>
    <t>Income tax</t>
  </si>
  <si>
    <t>Net income</t>
  </si>
  <si>
    <t>CAGR</t>
  </si>
  <si>
    <t>Operating margin</t>
  </si>
  <si>
    <t>Net margin</t>
  </si>
  <si>
    <t>-</t>
  </si>
  <si>
    <t>Revenue growth</t>
  </si>
  <si>
    <t>Earnings per common share (EPS)- diluted</t>
  </si>
  <si>
    <t>EPS growth</t>
  </si>
  <si>
    <t>Key Ratios</t>
  </si>
  <si>
    <t>Metrics</t>
  </si>
  <si>
    <t>Balance Sheet</t>
  </si>
  <si>
    <t>Income Sheet Overview</t>
  </si>
  <si>
    <t>Current assests</t>
  </si>
  <si>
    <t>Cash and equivalents</t>
  </si>
  <si>
    <t>Accounts and notes receivable</t>
  </si>
  <si>
    <t>Prepaid expenses and other current assets</t>
  </si>
  <si>
    <t>Inventories</t>
  </si>
  <si>
    <t>Total current assets</t>
  </si>
  <si>
    <t>Other assets</t>
  </si>
  <si>
    <t>Investments in and advances to affiliates</t>
  </si>
  <si>
    <t>Goodwill</t>
  </si>
  <si>
    <t>Miscellaneous</t>
  </si>
  <si>
    <t>Total other assets</t>
  </si>
  <si>
    <t>Property and equipments</t>
  </si>
  <si>
    <t>Property and equipments, at cost</t>
  </si>
  <si>
    <t>Accumulated depreciation and amortization</t>
  </si>
  <si>
    <t>Net</t>
  </si>
  <si>
    <t>Total assets</t>
  </si>
  <si>
    <t>ASSETS</t>
  </si>
  <si>
    <t>LIABILITIES AND SHAREHOLDER'S EQUITY</t>
  </si>
  <si>
    <t>Current liabilities</t>
  </si>
  <si>
    <t>Accounts payable</t>
  </si>
  <si>
    <t>Income taxes</t>
  </si>
  <si>
    <t>Other taxes</t>
  </si>
  <si>
    <t>Accrued interest</t>
  </si>
  <si>
    <t>Accrued payroll and other liabilities</t>
  </si>
  <si>
    <t>Total current liabilities</t>
  </si>
  <si>
    <t>Long-term debt</t>
  </si>
  <si>
    <t>Long-term income taxes</t>
  </si>
  <si>
    <t>Deferred income taxes</t>
  </si>
  <si>
    <t>Shareholder's equity (deficit)</t>
  </si>
  <si>
    <t>Preferred stock</t>
  </si>
  <si>
    <t>Common stock</t>
  </si>
  <si>
    <t>Retained earnings</t>
  </si>
  <si>
    <t>Acuumulated other comprehensive income</t>
  </si>
  <si>
    <t>Common stock in treasury</t>
  </si>
  <si>
    <t>Total shareholder's equity (deficit)</t>
  </si>
  <si>
    <t>Total liabilities and shareholder's equity (deficit)</t>
  </si>
  <si>
    <t>Deferred revenues</t>
  </si>
  <si>
    <t>Other long-term liabilities</t>
  </si>
  <si>
    <t>References</t>
  </si>
  <si>
    <t>Go to References</t>
  </si>
  <si>
    <t>CPI</t>
  </si>
  <si>
    <t>Multiplier</t>
  </si>
  <si>
    <t>Year</t>
  </si>
  <si>
    <t>Assets held for sale</t>
  </si>
  <si>
    <t>Current maturities</t>
  </si>
  <si>
    <t>Liabilities held for sale</t>
  </si>
  <si>
    <t>Return on Assets (ROA)</t>
  </si>
  <si>
    <t>Debt to Asset ratio (D/A)</t>
  </si>
  <si>
    <t xml:space="preserve">Current Ratio </t>
  </si>
  <si>
    <t>Cash Flow Statement</t>
  </si>
  <si>
    <t>In millions</t>
  </si>
  <si>
    <t>Operating Activities</t>
  </si>
  <si>
    <t>Charges and credits</t>
  </si>
  <si>
    <t>Depreciation and amortization</t>
  </si>
  <si>
    <t>Other</t>
  </si>
  <si>
    <t>Accounts receivable</t>
  </si>
  <si>
    <t>Inventories, prepaid expenses and other current assets</t>
  </si>
  <si>
    <t>Other accrued liabilities</t>
  </si>
  <si>
    <t>Investing Activities</t>
  </si>
  <si>
    <t>Sales of restaurant businesses</t>
  </si>
  <si>
    <t>Purchases of restaurant businesses</t>
  </si>
  <si>
    <t>Proceeds from sale (China and Hong Kong)</t>
  </si>
  <si>
    <t>Sales of property</t>
  </si>
  <si>
    <t>Total cash by investing activities</t>
  </si>
  <si>
    <t>Net short-term borrowings</t>
  </si>
  <si>
    <t>Long-term financing isssuances</t>
  </si>
  <si>
    <t>Long-term financing repayments</t>
  </si>
  <si>
    <t>Treasury stock purchases</t>
  </si>
  <si>
    <t>Common stock dividends</t>
  </si>
  <si>
    <t>Proceeds from stock option exercises</t>
  </si>
  <si>
    <t>Financing activities (used for)</t>
  </si>
  <si>
    <t>Total by Financing activities</t>
  </si>
  <si>
    <t>Effect of exchange rates on cash</t>
  </si>
  <si>
    <t>Cash and equivalents increase</t>
  </si>
  <si>
    <t>Cash in cash balances of business for sale</t>
  </si>
  <si>
    <t>Cash and equivalents at beginning of year</t>
  </si>
  <si>
    <t>Cash and equivalents at end of year</t>
  </si>
  <si>
    <t xml:space="preserve">         Changes in working capital</t>
  </si>
  <si>
    <t>Share-based compensation</t>
  </si>
  <si>
    <t>Net gain on sale of businesses</t>
  </si>
  <si>
    <t>Interest paid</t>
  </si>
  <si>
    <t>Income tax paid</t>
  </si>
  <si>
    <t>Excess tax benefit on share-based compensation</t>
  </si>
  <si>
    <t>Capital expenditures (CapEx)</t>
  </si>
  <si>
    <t>Free Cash Flow FCF</t>
  </si>
  <si>
    <t>Operating Cash Flow OCF Margin</t>
  </si>
  <si>
    <t>OCF/Revenue</t>
  </si>
  <si>
    <t>OCF-CapEx</t>
  </si>
  <si>
    <t>Cash Flow to Debt ratio</t>
  </si>
  <si>
    <t>OCF/Total debt</t>
  </si>
  <si>
    <t>Cash Flow Coverage ratio</t>
  </si>
  <si>
    <t>Capex to OCF ratio</t>
  </si>
  <si>
    <t>Capex/OCF</t>
  </si>
  <si>
    <t>Quality of earning ratio</t>
  </si>
  <si>
    <t>OCF/Net Income</t>
  </si>
  <si>
    <t>Total Debt</t>
  </si>
  <si>
    <t>Total cash by Operations (OCF)</t>
  </si>
  <si>
    <t>OCF/ Interest paid</t>
  </si>
  <si>
    <t>Cash Return on Equity (CROA)</t>
  </si>
  <si>
    <t>OCF/Shareholder's equity</t>
  </si>
  <si>
    <t>Cash Return on Equity (CROE)</t>
  </si>
  <si>
    <t>OCF/Total assets</t>
  </si>
  <si>
    <t>(OCF-Dividends)/Net income</t>
  </si>
  <si>
    <t>Sustained Cash Flow Index</t>
  </si>
  <si>
    <t>Dividend Coverage Ratio</t>
  </si>
  <si>
    <t>OCF/Dividends paid</t>
  </si>
  <si>
    <t>OCF/Market cap</t>
  </si>
  <si>
    <t>Net income/Dividends paid</t>
  </si>
  <si>
    <t>Cash Flow Performance</t>
  </si>
  <si>
    <t>Liquidity and Solvency</t>
  </si>
  <si>
    <t>Quality of earnings</t>
  </si>
  <si>
    <t>Return Ratios</t>
  </si>
  <si>
    <t>Dividend and Sustainability</t>
  </si>
  <si>
    <t>Market performance</t>
  </si>
  <si>
    <t xml:space="preserve">https://stockanalysis.com/stocks/mcd/market-cap/ </t>
  </si>
  <si>
    <r>
      <t xml:space="preserve">Market Capital </t>
    </r>
    <r>
      <rPr>
        <i/>
        <sz val="11"/>
        <color theme="1"/>
        <rFont val="Calibri"/>
        <family val="2"/>
        <scheme val="minor"/>
      </rPr>
      <t>(use below link for Market Cap data)</t>
    </r>
  </si>
  <si>
    <t>CPI Data</t>
  </si>
  <si>
    <t>https://www.bls.gov/regions/mid-atlantic/data/consumerpriceindexhistorical_us_table.htm</t>
  </si>
  <si>
    <t>Refer below link for CPI Data:</t>
  </si>
  <si>
    <t>Key Ratios from Income Statement:</t>
  </si>
  <si>
    <t>Revenue growth represents the percentage increase or decrease in a company's total revenue compared to the previous year. It indicates the company's ability to expand sales and generate higher income over time.</t>
  </si>
  <si>
    <t>EPS Growth:</t>
  </si>
  <si>
    <t>Earnings Per Share (EPS) growth measures the rate at which a company's net earnings per share increase or decrease over time. A positive trend suggests improving profitability and potential value for investors.</t>
  </si>
  <si>
    <t>Operating Margin:</t>
  </si>
  <si>
    <t>Operating margin shows the proportion of revenue that remains after covering all operating expenses, excluding interest and taxes. It reflects the company’s efficiency in managing operational costs.</t>
  </si>
  <si>
    <r>
      <t>Revenue Growth:</t>
    </r>
    <r>
      <rPr>
        <i/>
        <sz val="11"/>
        <color theme="1"/>
        <rFont val="Calibri"/>
        <family val="2"/>
        <scheme val="minor"/>
      </rPr>
      <t xml:space="preserve"> </t>
    </r>
  </si>
  <si>
    <t>Net margin represents the percentage of revenue that remains as profit after all expenses, including taxes and interest, are deducted. A higher net margin indicates stronger profitability.</t>
  </si>
  <si>
    <t>Net Margin:</t>
  </si>
  <si>
    <t>Key Ratios from Balance Sheet:</t>
  </si>
  <si>
    <t>ROA measures a company's profitability relative to its total assets. It indicates how efficiently the company utilizes its assets to generate net income.</t>
  </si>
  <si>
    <t>Return on Assets (ROA):</t>
  </si>
  <si>
    <t>The debt-to-asset ratio measures the proportion of a company's assets financed by debt. A higher ratio suggests greater financial leverage and potential risk.</t>
  </si>
  <si>
    <t>Current Ratio:</t>
  </si>
  <si>
    <t>The current ratio assesses a company's ability to cover short-term liabilities with its short-term assets. A ratio above 1 indicates strong liquidity.</t>
  </si>
  <si>
    <t>Key ratios from Cash Flow Statement:</t>
  </si>
  <si>
    <t>Go to CF Statement</t>
  </si>
  <si>
    <t>Years:</t>
  </si>
  <si>
    <t>OCF margin measures how much of a company’s revenue is converted into operating cash flow. A higher margin indicates strong cash-generating efficiency.</t>
  </si>
  <si>
    <t>Operating Cash Flow OCF Margin:</t>
  </si>
  <si>
    <t>Free Cash Flow FCF:</t>
  </si>
  <si>
    <t>FCF represents the cash a company generates after accounting for capital expenditures (CapEx). It indicates the company’s ability to reinvest, pay dividends, or reduce debt.</t>
  </si>
  <si>
    <t>This ratio measures a company's ability to cover its total debt using its operating cash flow. A higher ratio indicates a stronger ability to repay debt.</t>
  </si>
  <si>
    <t>This ratio evaluates how well a company can cover its interest payments with operating cash flow. A higher value suggests better financial stability.</t>
  </si>
  <si>
    <t>This ratio shows the proportion of operating cash flow spent on capital expenditures. A lower ratio suggests more free cash flow available for other uses.</t>
  </si>
  <si>
    <t>Debt to Asset Ratio (D/A):</t>
  </si>
  <si>
    <t>Cash Flow to Debt Ratio:</t>
  </si>
  <si>
    <t>Cash Flow Coverage Ratio:</t>
  </si>
  <si>
    <t>Capex to OCF Ratio:</t>
  </si>
  <si>
    <t>This ratio compares operating cash flow to net income, assessing the reliability of reported earnings. A higher ratio indicates that earnings are backed by strong cash flow rather than accounting adjustments.</t>
  </si>
  <si>
    <t>Quality of earning ratio:</t>
  </si>
  <si>
    <t>Measures how efficiently a company generates cash flow from its total assets. A higher CROA indicates better asset utilization in generating cash flow.</t>
  </si>
  <si>
    <t>Evaluates how much operating cash flow is generated per unit of shareholder's equity. A higher CROE suggests strong profitability and financial efficiency.</t>
  </si>
  <si>
    <t>Cash Return on Equity (CROA):</t>
  </si>
  <si>
    <t>Cash Return on Equity (CROE):</t>
  </si>
  <si>
    <t>Sustained Cash Flow Index:</t>
  </si>
  <si>
    <t>Indicates the proportion of net income retained after paying dividends. A higher value suggests stronger cash flow sustainability.</t>
  </si>
  <si>
    <t>Dividend Coverage Ratio:</t>
  </si>
  <si>
    <t>Measures the ability of a company to cover its dividend payments with its operating cash flow. A higher ratio indicates better dividend-paying capacity.</t>
  </si>
  <si>
    <t>Shows how much of the company's net income is used to pay dividends. A lower ratio may indicate higher dividend payouts relative to earnings.</t>
  </si>
  <si>
    <t>OCF/ Dividend paid:</t>
  </si>
  <si>
    <t>Net Income/ Dividends paid:</t>
  </si>
  <si>
    <t>Market Performance</t>
  </si>
  <si>
    <t>Cash Flow Yeild:</t>
  </si>
  <si>
    <t>Measures the cash flow generated relative to the company's market capitalization. A higher yield suggests stronger cash-generating ability in relation to its valuation.</t>
  </si>
  <si>
    <t>Cash Flow Yield</t>
  </si>
  <si>
    <t>2014-2018 Historical data and 5-year Annual forecast.</t>
  </si>
  <si>
    <t>Ratios</t>
  </si>
  <si>
    <t>U.S</t>
  </si>
  <si>
    <t>International Lead Markets</t>
  </si>
  <si>
    <t>High Growth Markets</t>
  </si>
  <si>
    <t>Foundational Markets &amp; Corporate</t>
  </si>
  <si>
    <t>Total operating income</t>
  </si>
  <si>
    <t>Total capital and expenditure</t>
  </si>
  <si>
    <t>Total depreciation and amortization</t>
  </si>
  <si>
    <t>Segment and Geographic Information</t>
  </si>
  <si>
    <t>Total revenue growth</t>
  </si>
  <si>
    <t>total oprating income growth</t>
  </si>
  <si>
    <t>Total assets growth</t>
  </si>
  <si>
    <t>Total capital and expenditure growth</t>
  </si>
  <si>
    <t>Total depreciation and amortization growth</t>
  </si>
  <si>
    <t>Required values from Income sheet and Balance sheet:</t>
  </si>
  <si>
    <t>Market Research</t>
  </si>
  <si>
    <t>Market research for industry and markets.</t>
  </si>
  <si>
    <t>Assumed growth of markets and segments.</t>
  </si>
  <si>
    <t>5 year forecast of company.</t>
  </si>
  <si>
    <t>References.</t>
  </si>
  <si>
    <t>Summary.</t>
  </si>
  <si>
    <t>Go to Market Research</t>
  </si>
  <si>
    <t>Global fast food market</t>
  </si>
  <si>
    <t>McDonald's total revenue</t>
  </si>
  <si>
    <t>McDonald's market share</t>
  </si>
  <si>
    <t>Seasonality Factor</t>
  </si>
  <si>
    <t>Volatility</t>
  </si>
  <si>
    <t>Cycle phase</t>
  </si>
  <si>
    <t>Quarterly Data</t>
  </si>
  <si>
    <t>Quarterly revenues, seasonality, volatility, Cycles.</t>
  </si>
  <si>
    <t>Go to Quarterly Data</t>
  </si>
  <si>
    <t>Unadjusted values</t>
  </si>
  <si>
    <t>All values in 2018 USD (BLS CPI-U Adjusted)</t>
  </si>
  <si>
    <t>Additional paid-in capital</t>
  </si>
  <si>
    <t>Total cash provided by (used for) Financing activities</t>
  </si>
  <si>
    <t>Quarterly Data (2014-2018)</t>
  </si>
  <si>
    <t>Q1</t>
  </si>
  <si>
    <t>Q2</t>
  </si>
  <si>
    <t>Q3</t>
  </si>
  <si>
    <t>Q4</t>
  </si>
  <si>
    <t>Total Revenue</t>
  </si>
  <si>
    <t>Quarterly Revenue</t>
  </si>
  <si>
    <t>Seasonality factor</t>
  </si>
  <si>
    <t>Yearly factor</t>
  </si>
  <si>
    <t>Expansion.</t>
  </si>
  <si>
    <t>https://www.ibisworld.com/global/market-size/global-fast-food-restaurants/1480/</t>
  </si>
  <si>
    <t>Revenue Growth (RG)</t>
  </si>
  <si>
    <t>Metris</t>
  </si>
  <si>
    <t>Mean</t>
  </si>
  <si>
    <t>Deviations</t>
  </si>
  <si>
    <t>(Deviations)^2</t>
  </si>
  <si>
    <t>Variance</t>
  </si>
  <si>
    <t>Stnd Dev</t>
  </si>
  <si>
    <t>Refer below link for market size:</t>
  </si>
  <si>
    <r>
      <t>CPI Adjustment Note:</t>
    </r>
    <r>
      <rPr>
        <i/>
        <sz val="11"/>
        <color theme="1"/>
        <rFont val="Calibri"/>
        <family val="2"/>
        <scheme val="minor"/>
      </rPr>
      <t xml:space="preserve"> Monetary values have been CPI-adjusted to reflect real purchasing power, while common stock remains unadjusted as it represents share count, not monetary value. This may cause a minor variance in the balance sheet equation due to mixed adjustment methodologies.</t>
    </r>
  </si>
  <si>
    <t>Market size</t>
  </si>
  <si>
    <t>McDonald's Financial Forecast Project</t>
  </si>
  <si>
    <t>key Trends</t>
  </si>
  <si>
    <t>Average RG:</t>
  </si>
  <si>
    <t>Assumed CAGR:</t>
  </si>
  <si>
    <t>Market size (2018):</t>
  </si>
  <si>
    <t>1) Baseline Growth</t>
  </si>
  <si>
    <t>Projected nominal Revenue</t>
  </si>
  <si>
    <t>Revenue (2018):</t>
  </si>
  <si>
    <t>Assumed Revenue Growth:</t>
  </si>
  <si>
    <t>Adjusted Revenue</t>
  </si>
  <si>
    <t>CPI Multiplier</t>
  </si>
  <si>
    <t>Market Share (%)</t>
  </si>
  <si>
    <t>Revenue Growth (%)</t>
  </si>
  <si>
    <t>2) Pandemic Disruption</t>
  </si>
  <si>
    <t>108,480.0</t>
  </si>
  <si>
    <t>101,080.0</t>
  </si>
  <si>
    <t>137,210.0</t>
  </si>
  <si>
    <t>136,890.0</t>
  </si>
  <si>
    <t>McDonald's Quarterly data (10-Q):</t>
  </si>
  <si>
    <t>https://www.sec.gov/ix?doc=/Archives/edgar/data/0000063908/000006390818000025/mcd-3312018x10q.htm</t>
  </si>
  <si>
    <t>https://www.sec.gov/Archives/edgar/data/0000063908/000006390815000016/mcd-12312014x10k.htm</t>
  </si>
  <si>
    <t>https://www.sec.gov/Archives/edgar/data/0000063908/000006390816000103/mcd-12312015x10k.htm</t>
  </si>
  <si>
    <t>https://www.sec.gov/Archives/edgar/data/0000063908/000006390817000017/mcd-12312016x10k.htm</t>
  </si>
  <si>
    <t>https://www.sec.gov/ix?doc=/Archives/edgar/data/0000063908/000006390818000010/mcd-12312017x10k.htm</t>
  </si>
  <si>
    <t>https://www.sec.gov/ix?doc=/Archives/edgar/data/0000063908/000006390819000010/mcd-12312018x10k.htm</t>
  </si>
  <si>
    <t>https://www.sec.gov/Archives/edgar/data/0000063908/000006390814000032/mcd-3312014x10q.htm</t>
  </si>
  <si>
    <t>https://www.sec.gov/Archives/edgar/data/0000063908/000006390814000059/mcd-6302014x10q.htm</t>
  </si>
  <si>
    <t>https://www.sec.gov/Archives/edgar/data/0000063908/000006390814000077/mcd-9302014x10q.htm</t>
  </si>
  <si>
    <t>https://www.sec.gov/Archives/edgar/data/0000063908/000006390815000039/mcd-3312015x10q.htm</t>
  </si>
  <si>
    <t>https://www.sec.gov/Archives/edgar/data/0000063908/000006390815000065/mcd-6302015x10q.htm</t>
  </si>
  <si>
    <t>https://www.sec.gov/Archives/edgar/data/0000063908/000006390815000081/mcd-9302015x10q.htm</t>
  </si>
  <si>
    <t>https://www.sec.gov/Archives/edgar/data/0000063908/000006390816000121/mcd-3312016x10q.htm</t>
  </si>
  <si>
    <t>https://www.sec.gov/Archives/edgar/data/0000063908/000006390816000142/mcd-6302016x10q.htm</t>
  </si>
  <si>
    <t>https://www.sec.gov/Archives/edgar/data/0000063908/000006390816000161/mcd-9302016x10q.htm</t>
  </si>
  <si>
    <t>https://www.sec.gov/Archives/edgar/data/0000063908/000006390817000025/mcd-3312017x10q.htm</t>
  </si>
  <si>
    <t>https://www.sec.gov/ix?doc=/Archives/edgar/data/0000063908/000006390817000039/mcd-6302017x10q.htm</t>
  </si>
  <si>
    <t>https://www.sec.gov/ix?doc=/Archives/edgar/data/0000063908/000006390817000053/mcd-9302017x10q.htm</t>
  </si>
  <si>
    <t>https://www.sec.gov/ix?doc=/Archives/edgar/data/0000063908/000006390818000049/mcd-6302018x10q.htm</t>
  </si>
  <si>
    <t>https://www.sec.gov/ix?doc=/Archives/edgar/data/0000063908/000006390818000064/mcd-9302018x10q.htm</t>
  </si>
  <si>
    <t>McDonald's Annual Reports (10-K):</t>
  </si>
  <si>
    <t>2014 (Q1)</t>
  </si>
  <si>
    <t>(Q3)</t>
  </si>
  <si>
    <t>(Q2)</t>
  </si>
  <si>
    <t>2015 (Q1)</t>
  </si>
  <si>
    <t>2016 (Q1)</t>
  </si>
  <si>
    <t>2017 (Q1)</t>
  </si>
  <si>
    <t>2018 (Q1)</t>
  </si>
  <si>
    <t>In millions, except share data, (10-K)</t>
  </si>
  <si>
    <t>Used in:</t>
  </si>
  <si>
    <t>In millions, (10-K)</t>
  </si>
  <si>
    <t>In millions, (10-Q)</t>
  </si>
  <si>
    <t xml:space="preserve">https://www.ibisworld.com/global/market-size/global-fast-food-restaurants/1480/				</t>
  </si>
  <si>
    <t>Consumer Price Index (CPI) by Bureau of Labour Statistics (BLS):</t>
  </si>
  <si>
    <t>Market Capital (2014-2018):</t>
  </si>
  <si>
    <t>Refer to the sources provided in the "References" for information :</t>
  </si>
  <si>
    <t>Assumed Growth:</t>
  </si>
  <si>
    <t>https://treasury.gov.au/publication/economic-roundup-winter-2003/the-economic-impact-of-severe-acute-respiratory-syndrome-sars</t>
  </si>
  <si>
    <t>2003 SARS:</t>
  </si>
  <si>
    <t>https://www.ers.usda.gov/amber-waves/2015/march/recession-had-greater-impact-on-visits-to-sit-down-restaurants-than-fast-food-places/</t>
  </si>
  <si>
    <t>2008 Crisis:</t>
  </si>
  <si>
    <t>CF Statement</t>
  </si>
  <si>
    <t>Assumed Growth</t>
  </si>
  <si>
    <t>Go to Assumed Growth</t>
  </si>
  <si>
    <t>Note:</t>
  </si>
  <si>
    <t>Hindsight scenario:</t>
  </si>
  <si>
    <t>Projected Market size (1.5%)</t>
  </si>
  <si>
    <t>Projected Market size (4%)</t>
  </si>
  <si>
    <t>Comparing forecast with actual data.</t>
  </si>
  <si>
    <r>
      <t>Numbers here use Indian format (like</t>
    </r>
    <r>
      <rPr>
        <b/>
        <i/>
        <sz val="11"/>
        <color rgb="FF000000"/>
        <rFont val="Arial"/>
        <family val="2"/>
      </rPr>
      <t xml:space="preserve"> "9,20,314"</t>
    </r>
    <r>
      <rPr>
        <i/>
        <sz val="11"/>
        <color rgb="FF000000"/>
        <rFont val="Arial"/>
        <family val="2"/>
      </rPr>
      <t xml:space="preserve"> for </t>
    </r>
    <r>
      <rPr>
        <b/>
        <i/>
        <sz val="11"/>
        <color rgb="FF000000"/>
        <rFont val="Arial"/>
        <family val="2"/>
      </rPr>
      <t>9,203,140</t>
    </r>
    <r>
      <rPr>
        <i/>
        <sz val="11"/>
        <color rgb="FF000000"/>
        <rFont val="Arial"/>
        <family val="2"/>
      </rPr>
      <t>) because the Excel setup started with an Indian locale, sticking to 2-3-2 grouping. I tried switching to American style (3-3-3), but it got messy and threw off the graphs—data and visuals didn’t match up. So, I kept the Indian format to keep everything accurate and consistent. All figures still work as intended.</t>
    </r>
  </si>
  <si>
    <r>
      <rPr>
        <b/>
        <i/>
        <sz val="11"/>
        <color theme="1"/>
        <rFont val="Calibri"/>
        <family val="2"/>
        <scheme val="minor"/>
      </rPr>
      <t>Note:</t>
    </r>
    <r>
      <rPr>
        <i/>
        <sz val="11"/>
        <color theme="1"/>
        <rFont val="Calibri"/>
        <family val="2"/>
        <scheme val="minor"/>
      </rPr>
      <t xml:space="preserve"> CPI multipliers are rounded to 3 decimals (following BLS practice), which can cause a small </t>
    </r>
    <r>
      <rPr>
        <b/>
        <i/>
        <sz val="11"/>
        <color theme="1"/>
        <rFont val="Calibri"/>
        <family val="2"/>
        <scheme val="minor"/>
      </rPr>
      <t>0.03–0.04%</t>
    </r>
    <r>
      <rPr>
        <i/>
        <sz val="11"/>
        <color theme="1"/>
        <rFont val="Calibri"/>
        <family val="2"/>
        <scheme val="minor"/>
      </rPr>
      <t xml:space="preserve"> error due to Excel’s precision quirks (e.g., 1.061 might read as 1.060696). I caught this and checked it out—the impact on the results is basically zero, so it's all good.</t>
    </r>
  </si>
  <si>
    <t>Global Fast-food market size</t>
  </si>
  <si>
    <t>Actaul Data</t>
  </si>
  <si>
    <t>Baseline Projection</t>
  </si>
  <si>
    <t>Pandemic Disruption</t>
  </si>
  <si>
    <t>Hindsight Scenario</t>
  </si>
  <si>
    <t>Hindsight Scenario for Market size (2%)</t>
  </si>
  <si>
    <t>All values in 2025 USD (BLS CPI-U Adjusted)</t>
  </si>
  <si>
    <t xml:space="preserve">See adjusted Data Source: </t>
  </si>
  <si>
    <t>Outcome Analysis</t>
  </si>
  <si>
    <t>Go to Data Source</t>
  </si>
  <si>
    <t>Go to Outcome Analysis</t>
  </si>
  <si>
    <t>Data Source</t>
  </si>
  <si>
    <t>Baseline Projection (2018)</t>
  </si>
  <si>
    <t>Pandemic Disruption (2018)</t>
  </si>
  <si>
    <t>Hindsight Scenario (2018)</t>
  </si>
  <si>
    <t>https://www.sec.gov/ix?doc=/Archives/edgar/data/0000063908/000006390820000022/mcd-12312019x10k.htm</t>
  </si>
  <si>
    <t>https://www.sec.gov/ix?doc=/Archives/edgar/data/0000063908/000006390821000013/mcd-20201231.htm</t>
  </si>
  <si>
    <t>https://www.sec.gov/ix?doc=/Archives/edgar/data/0000063908/000006390822000011/mcd-20211231.htm</t>
  </si>
  <si>
    <t>https://www.sec.gov/ix?doc=/Archives/edgar/data/0000063908/000006390823000012/mcd-20221231.htm</t>
  </si>
  <si>
    <t>https://www.sec.gov/ix?doc=/Archives/edgar/data/0000063908/000006390824000072/mcd-20231231.htm</t>
  </si>
  <si>
    <t>Nominal Data</t>
  </si>
  <si>
    <t>References:</t>
  </si>
  <si>
    <t>Global Market size</t>
  </si>
  <si>
    <t>All values are adjusted to 2018 USD, except Nominal Data, which is not not adjusted and holds all original values.</t>
  </si>
  <si>
    <t>Global Fast Food Market size:</t>
  </si>
  <si>
    <r>
      <t>11</t>
    </r>
    <r>
      <rPr>
        <vertAlign val="superscript"/>
        <sz val="11"/>
        <color theme="1"/>
        <rFont val="Calibri"/>
        <family val="2"/>
        <scheme val="minor"/>
      </rPr>
      <t xml:space="preserve">th </t>
    </r>
    <r>
      <rPr>
        <sz val="11"/>
        <color theme="1"/>
        <rFont val="Calibri"/>
        <family val="2"/>
        <scheme val="minor"/>
      </rPr>
      <t>of March, 2025</t>
    </r>
  </si>
  <si>
    <t>Error Analysis</t>
  </si>
  <si>
    <t>Average</t>
  </si>
  <si>
    <t xml:space="preserve">Global Market (Pandemic) </t>
  </si>
  <si>
    <t>Global Market (Hindsight)</t>
  </si>
  <si>
    <t>Revenues (Both scenarios)</t>
  </si>
  <si>
    <r>
      <t>Numbers here use Indian format (like</t>
    </r>
    <r>
      <rPr>
        <b/>
        <i/>
        <sz val="11"/>
        <color rgb="FF000000"/>
        <rFont val="Arial"/>
        <family val="2"/>
      </rPr>
      <t xml:space="preserve"> "9,20,314"</t>
    </r>
    <r>
      <rPr>
        <i/>
        <sz val="11"/>
        <color rgb="FF000000"/>
        <rFont val="Arial"/>
        <family val="2"/>
      </rPr>
      <t xml:space="preserve"> for </t>
    </r>
    <r>
      <rPr>
        <b/>
        <i/>
        <sz val="11"/>
        <color rgb="FF000000"/>
        <rFont val="Arial"/>
        <family val="2"/>
      </rPr>
      <t>9,203,140</t>
    </r>
    <r>
      <rPr>
        <i/>
        <sz val="11"/>
        <color rgb="FF000000"/>
        <rFont val="Arial"/>
        <family val="2"/>
      </rPr>
      <t>) because the Excel setup started with an Indian locale.</t>
    </r>
  </si>
  <si>
    <t>Conclusion</t>
  </si>
  <si>
    <t>Conlusion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</si>
</sst>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 &quot;₹&quot;\ * #,##0.00_ ;_ &quot;₹&quot;\ * \-#,##0.00_ ;_ &quot;₹&quot;\ * &quot;-&quot;??_ ;_ @_ "/>
    <numFmt numFmtId="43" formatCode="_ * #,##0.00_ ;_ * \-#,##0.00_ ;_ * &quot;-&quot;??_ ;_ @_ "/>
    <numFmt numFmtId="164" formatCode="_-[$$-409]* #,##0_ ;_-[$$-409]* \-#,##0\ ;_-[$$-409]* &quot;-&quot;??_ ;_-@_ "/>
    <numFmt numFmtId="165" formatCode="_-[$$-409]* #,##0.00_ ;_-[$$-409]* \-#,##0.00\ ;_-[$$-409]* &quot;-&quot;??_ ;_-@_ "/>
    <numFmt numFmtId="166" formatCode="_-[$$-409]* #,##0.0_ ;_-[$$-409]* \-#,##0.0\ ;_-[$$-409]* &quot;-&quot;??_ ;_-@_ "/>
    <numFmt numFmtId="167" formatCode="0.000"/>
    <numFmt numFmtId="168" formatCode="0.0%"/>
    <numFmt numFmtId="169" formatCode="0.0"/>
    <numFmt numFmtId="170" formatCode="_-[$$-409]* #,##0.0_ ;_-[$$-409]* \-#,##0.0\ ;_-[$$-409]* &quot;-&quot;?_ ;_-@_ "/>
    <numFmt numFmtId="171" formatCode="0.000%"/>
    <numFmt numFmtId="172" formatCode="#,##0.00_);\(#,##0.00\ \)"/>
    <numFmt numFmtId="173" formatCode="#,##0.0_);\(#,##0.0\ \)"/>
    <numFmt numFmtId="174" formatCode="#,##0.000_);\(#,##0.000\ \)"/>
    <numFmt numFmtId="175" formatCode="#,###.00_);\(#,###.00\)"/>
    <numFmt numFmtId="176" formatCode="#,###"/>
    <numFmt numFmtId="177" formatCode="_ * #,##0.0_ ;_ * \-#,##0.0_ ;_ * &quot;-&quot;??_ ;_ @_ "/>
    <numFmt numFmtId="178" formatCode="###,###.00_);\(###,###.00\ \)"/>
    <numFmt numFmtId="179" formatCode="0%;\(0.00%\)"/>
    <numFmt numFmtId="180" formatCode="0.00%;\(0.00%\)"/>
    <numFmt numFmtId="181" formatCode="_ * #,##0.0_ ;_ * \-#,##0.0_ ;_ * &quot;-&quot;?_ ;_ @_ "/>
    <numFmt numFmtId="182" formatCode="0.00%;\(0.0000%\)"/>
  </numFmts>
  <fonts count="21" x14ac:knownFonts="1">
    <font>
      <sz val="11"/>
      <color theme="1"/>
      <name val="Calibri"/>
      <family val="2"/>
      <scheme val="minor"/>
    </font>
    <font>
      <b/>
      <sz val="15"/>
      <color theme="3"/>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i/>
      <sz val="11"/>
      <color theme="5" tint="-0.249977111117893"/>
      <name val="Calibri"/>
      <family val="2"/>
      <scheme val="minor"/>
    </font>
    <font>
      <sz val="11"/>
      <color theme="0"/>
      <name val="Calibri"/>
      <family val="2"/>
      <scheme val="minor"/>
    </font>
    <font>
      <sz val="11"/>
      <color theme="1"/>
      <name val="Calibri"/>
      <family val="2"/>
      <scheme val="minor"/>
    </font>
    <font>
      <b/>
      <i/>
      <sz val="11"/>
      <color theme="1"/>
      <name val="Calibri"/>
      <family val="2"/>
      <scheme val="minor"/>
    </font>
    <font>
      <sz val="9"/>
      <color indexed="81"/>
      <name val="Tahoma"/>
      <family val="2"/>
    </font>
    <font>
      <b/>
      <sz val="9"/>
      <color indexed="81"/>
      <name val="Tahoma"/>
      <family val="2"/>
    </font>
    <font>
      <b/>
      <i/>
      <sz val="11"/>
      <color rgb="FF000000"/>
      <name val="Calibri"/>
      <family val="2"/>
      <scheme val="minor"/>
    </font>
    <font>
      <sz val="11"/>
      <color rgb="FF000000"/>
      <name val="Calibri"/>
      <family val="2"/>
      <scheme val="minor"/>
    </font>
    <font>
      <i/>
      <sz val="11"/>
      <color rgb="FF000000"/>
      <name val="Calibri"/>
      <family val="2"/>
      <scheme val="minor"/>
    </font>
    <font>
      <sz val="8"/>
      <name val="Calibri"/>
      <family val="2"/>
      <scheme val="minor"/>
    </font>
    <font>
      <i/>
      <sz val="10"/>
      <color rgb="FF000000"/>
      <name val="Arial"/>
      <family val="2"/>
    </font>
    <font>
      <sz val="11"/>
      <color rgb="FF000000"/>
      <name val="Arial"/>
      <family val="2"/>
    </font>
    <font>
      <sz val="12"/>
      <color rgb="FF000000"/>
      <name val="Arial"/>
      <family val="2"/>
    </font>
    <font>
      <i/>
      <sz val="11"/>
      <color rgb="FF000000"/>
      <name val="Arial"/>
      <family val="2"/>
    </font>
    <font>
      <vertAlign val="superscript"/>
      <sz val="11"/>
      <color theme="1"/>
      <name val="Calibri"/>
      <family val="2"/>
      <scheme val="minor"/>
    </font>
    <font>
      <b/>
      <i/>
      <sz val="11"/>
      <color rgb="FF000000"/>
      <name val="Arial"/>
      <family val="2"/>
    </font>
  </fonts>
  <fills count="35">
    <fill>
      <patternFill patternType="none"/>
    </fill>
    <fill>
      <patternFill patternType="gray125"/>
    </fill>
    <fill>
      <patternFill patternType="solid">
        <fgColor theme="4"/>
      </patternFill>
    </fill>
    <fill>
      <patternFill patternType="solid">
        <fgColor theme="7" tint="0.39997558519241921"/>
        <bgColor indexed="65"/>
      </patternFill>
    </fill>
    <fill>
      <patternFill patternType="solid">
        <fgColor theme="7"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EFB3AB"/>
        <bgColor indexed="64"/>
      </patternFill>
    </fill>
    <fill>
      <patternFill patternType="solid">
        <fgColor theme="9" tint="0.39997558519241921"/>
        <bgColor indexed="64"/>
      </patternFill>
    </fill>
    <fill>
      <patternFill patternType="solid">
        <fgColor theme="5"/>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rgb="FFFBD4CF"/>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2" tint="-0.249977111117893"/>
        <bgColor indexed="64"/>
      </patternFill>
    </fill>
  </fills>
  <borders count="5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s>
  <cellStyleXfs count="8">
    <xf numFmtId="0" fontId="0" fillId="0" borderId="0"/>
    <xf numFmtId="0" fontId="1" fillId="0" borderId="1" applyNumberFormat="0" applyFill="0" applyAlignment="0" applyProtection="0"/>
    <xf numFmtId="0" fontId="4" fillId="0" borderId="0" applyNumberFormat="0" applyFill="0" applyBorder="0" applyAlignment="0" applyProtection="0"/>
    <xf numFmtId="0" fontId="6" fillId="2" borderId="0" applyNumberFormat="0" applyBorder="0" applyAlignment="0" applyProtection="0"/>
    <xf numFmtId="9" fontId="7" fillId="0" borderId="0" applyFont="0" applyFill="0" applyBorder="0" applyAlignment="0" applyProtection="0"/>
    <xf numFmtId="0" fontId="7" fillId="3" borderId="0" applyNumberFormat="0" applyBorder="0" applyAlignment="0" applyProtection="0"/>
    <xf numFmtId="44" fontId="7" fillId="0" borderId="0" applyFont="0" applyFill="0" applyBorder="0" applyAlignment="0" applyProtection="0"/>
    <xf numFmtId="43" fontId="7" fillId="0" borderId="0" applyFont="0" applyFill="0" applyBorder="0" applyAlignment="0" applyProtection="0"/>
  </cellStyleXfs>
  <cellXfs count="904">
    <xf numFmtId="0" fontId="0" fillId="0" borderId="0" xfId="0"/>
    <xf numFmtId="0" fontId="2" fillId="0" borderId="0" xfId="0" applyFont="1" applyAlignment="1">
      <alignment horizontal="center"/>
    </xf>
    <xf numFmtId="0" fontId="0" fillId="0" borderId="0" xfId="0" applyAlignment="1">
      <alignment horizontal="center"/>
    </xf>
    <xf numFmtId="0" fontId="3" fillId="0" borderId="0" xfId="0" applyFont="1"/>
    <xf numFmtId="0" fontId="5" fillId="0" borderId="0" xfId="0" applyFont="1"/>
    <xf numFmtId="0" fontId="6" fillId="2" borderId="2" xfId="3" applyBorder="1" applyAlignment="1">
      <alignment horizontal="center"/>
    </xf>
    <xf numFmtId="0" fontId="0" fillId="0" borderId="2" xfId="0" applyBorder="1" applyAlignment="1">
      <alignment horizontal="center"/>
    </xf>
    <xf numFmtId="0" fontId="0" fillId="0" borderId="2" xfId="0" applyBorder="1"/>
    <xf numFmtId="0" fontId="4" fillId="0" borderId="2" xfId="2" applyBorder="1"/>
    <xf numFmtId="0" fontId="4" fillId="0" borderId="0" xfId="2"/>
    <xf numFmtId="0" fontId="2" fillId="8" borderId="2" xfId="0" applyFont="1" applyFill="1" applyBorder="1"/>
    <xf numFmtId="0" fontId="0" fillId="18" borderId="2" xfId="0" applyFill="1" applyBorder="1"/>
    <xf numFmtId="165" fontId="0" fillId="18" borderId="2" xfId="0" applyNumberFormat="1" applyFill="1" applyBorder="1"/>
    <xf numFmtId="165" fontId="0" fillId="19" borderId="2" xfId="0" applyNumberFormat="1" applyFill="1" applyBorder="1"/>
    <xf numFmtId="0" fontId="2" fillId="19" borderId="2" xfId="0" applyFont="1" applyFill="1" applyBorder="1"/>
    <xf numFmtId="0" fontId="0" fillId="19" borderId="2" xfId="0"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8" fillId="0" borderId="0" xfId="0" applyFont="1" applyAlignment="1">
      <alignment wrapText="1"/>
    </xf>
    <xf numFmtId="10" fontId="8" fillId="13" borderId="2" xfId="4" applyNumberFormat="1" applyFont="1" applyFill="1" applyBorder="1"/>
    <xf numFmtId="10" fontId="8" fillId="14" borderId="2" xfId="4" applyNumberFormat="1" applyFont="1" applyFill="1" applyBorder="1"/>
    <xf numFmtId="1" fontId="0" fillId="0" borderId="0" xfId="0" applyNumberFormat="1"/>
    <xf numFmtId="164" fontId="0" fillId="0" borderId="0" xfId="0" applyNumberFormat="1"/>
    <xf numFmtId="165" fontId="0" fillId="0" borderId="0" xfId="0" applyNumberFormat="1"/>
    <xf numFmtId="0" fontId="8" fillId="0" borderId="0" xfId="0" applyFont="1"/>
    <xf numFmtId="168" fontId="2" fillId="4" borderId="2" xfId="4" applyNumberFormat="1" applyFont="1" applyFill="1" applyBorder="1"/>
    <xf numFmtId="168" fontId="2" fillId="8" borderId="2" xfId="4" applyNumberFormat="1" applyFont="1" applyFill="1" applyBorder="1"/>
    <xf numFmtId="168" fontId="2" fillId="17" borderId="2" xfId="4" applyNumberFormat="1" applyFont="1" applyFill="1" applyBorder="1"/>
    <xf numFmtId="0" fontId="2" fillId="0" borderId="0" xfId="0" applyFont="1"/>
    <xf numFmtId="169" fontId="0" fillId="0" borderId="0" xfId="0" applyNumberFormat="1"/>
    <xf numFmtId="0" fontId="2" fillId="22" borderId="2" xfId="0" applyFont="1" applyFill="1" applyBorder="1" applyAlignment="1">
      <alignment horizontal="center"/>
    </xf>
    <xf numFmtId="166" fontId="0" fillId="0" borderId="0" xfId="0" applyNumberFormat="1"/>
    <xf numFmtId="166" fontId="2" fillId="0" borderId="0" xfId="0" applyNumberFormat="1" applyFont="1"/>
    <xf numFmtId="0" fontId="0" fillId="4" borderId="2" xfId="0" applyFill="1" applyBorder="1" applyAlignment="1">
      <alignment horizontal="center"/>
    </xf>
    <xf numFmtId="169" fontId="2" fillId="8" borderId="2" xfId="0" applyNumberFormat="1" applyFont="1" applyFill="1" applyBorder="1"/>
    <xf numFmtId="10" fontId="2" fillId="8" borderId="2" xfId="4" applyNumberFormat="1" applyFont="1" applyFill="1" applyBorder="1"/>
    <xf numFmtId="0" fontId="2" fillId="21" borderId="2" xfId="0" applyFont="1" applyFill="1" applyBorder="1"/>
    <xf numFmtId="10" fontId="2" fillId="21" borderId="2" xfId="4" applyNumberFormat="1" applyFont="1" applyFill="1" applyBorder="1"/>
    <xf numFmtId="0" fontId="2" fillId="26" borderId="2" xfId="0" applyFont="1" applyFill="1" applyBorder="1"/>
    <xf numFmtId="10" fontId="2" fillId="26" borderId="2" xfId="4" applyNumberFormat="1" applyFont="1" applyFill="1" applyBorder="1"/>
    <xf numFmtId="0" fontId="8" fillId="19" borderId="2" xfId="0" applyFont="1" applyFill="1" applyBorder="1" applyAlignment="1">
      <alignment horizontal="center"/>
    </xf>
    <xf numFmtId="0" fontId="8" fillId="19" borderId="2" xfId="0" applyFont="1" applyFill="1" applyBorder="1" applyAlignment="1">
      <alignment wrapText="1"/>
    </xf>
    <xf numFmtId="0" fontId="0" fillId="19" borderId="2" xfId="0" applyFill="1" applyBorder="1" applyAlignment="1">
      <alignment horizontal="center"/>
    </xf>
    <xf numFmtId="167" fontId="0" fillId="0" borderId="0" xfId="0" applyNumberFormat="1" applyAlignment="1">
      <alignment horizontal="center"/>
    </xf>
    <xf numFmtId="0" fontId="0" fillId="10" borderId="2" xfId="0" applyFill="1" applyBorder="1" applyAlignment="1">
      <alignment horizontal="center"/>
    </xf>
    <xf numFmtId="167" fontId="0" fillId="10" borderId="2" xfId="0" applyNumberFormat="1" applyFill="1" applyBorder="1" applyAlignment="1">
      <alignment horizontal="center"/>
    </xf>
    <xf numFmtId="0" fontId="0" fillId="8" borderId="2" xfId="0" applyFill="1" applyBorder="1" applyAlignment="1">
      <alignment horizontal="center"/>
    </xf>
    <xf numFmtId="167" fontId="0" fillId="8" borderId="2" xfId="0" applyNumberFormat="1" applyFill="1" applyBorder="1" applyAlignment="1">
      <alignment horizontal="center"/>
    </xf>
    <xf numFmtId="167" fontId="0" fillId="4" borderId="2" xfId="0" applyNumberFormat="1" applyFill="1" applyBorder="1" applyAlignment="1">
      <alignment horizontal="center"/>
    </xf>
    <xf numFmtId="0" fontId="0" fillId="17" borderId="2" xfId="0" applyFill="1" applyBorder="1" applyAlignment="1">
      <alignment horizontal="center"/>
    </xf>
    <xf numFmtId="167" fontId="0" fillId="17" borderId="2" xfId="0" applyNumberFormat="1" applyFill="1" applyBorder="1" applyAlignment="1">
      <alignment horizontal="center"/>
    </xf>
    <xf numFmtId="0" fontId="0" fillId="21" borderId="2" xfId="0" applyFill="1" applyBorder="1" applyAlignment="1">
      <alignment horizontal="center"/>
    </xf>
    <xf numFmtId="167" fontId="0" fillId="21" borderId="2" xfId="0" applyNumberFormat="1" applyFill="1" applyBorder="1" applyAlignment="1">
      <alignment horizontal="center"/>
    </xf>
    <xf numFmtId="0" fontId="8" fillId="0" borderId="9" xfId="0" applyFont="1" applyBorder="1"/>
    <xf numFmtId="0" fontId="2" fillId="19" borderId="2" xfId="0" applyFont="1" applyFill="1" applyBorder="1" applyAlignment="1">
      <alignment horizontal="right"/>
    </xf>
    <xf numFmtId="0" fontId="2" fillId="19" borderId="2" xfId="0" applyFont="1" applyFill="1" applyBorder="1" applyAlignment="1">
      <alignment wrapText="1"/>
    </xf>
    <xf numFmtId="0" fontId="0" fillId="26" borderId="2" xfId="0" applyFill="1" applyBorder="1"/>
    <xf numFmtId="0" fontId="2" fillId="21" borderId="2" xfId="0" applyFont="1" applyFill="1" applyBorder="1" applyAlignment="1">
      <alignment wrapText="1"/>
    </xf>
    <xf numFmtId="0" fontId="2" fillId="27" borderId="2" xfId="0" applyFont="1" applyFill="1" applyBorder="1"/>
    <xf numFmtId="10" fontId="2" fillId="27" borderId="2" xfId="4" applyNumberFormat="1" applyFont="1" applyFill="1" applyBorder="1"/>
    <xf numFmtId="10" fontId="0" fillId="0" borderId="6" xfId="4" applyNumberFormat="1" applyFont="1" applyBorder="1"/>
    <xf numFmtId="0" fontId="0" fillId="0" borderId="9" xfId="0" applyBorder="1"/>
    <xf numFmtId="0" fontId="0" fillId="0" borderId="10" xfId="0" applyBorder="1"/>
    <xf numFmtId="0" fontId="0" fillId="0" borderId="11" xfId="0" applyBorder="1"/>
    <xf numFmtId="0" fontId="11" fillId="0" borderId="9" xfId="0" applyFont="1" applyBorder="1"/>
    <xf numFmtId="0" fontId="11" fillId="0" borderId="0" xfId="0" applyFont="1"/>
    <xf numFmtId="0" fontId="12" fillId="0" borderId="0" xfId="0" applyFont="1"/>
    <xf numFmtId="0" fontId="4" fillId="0" borderId="0" xfId="2" applyBorder="1"/>
    <xf numFmtId="0" fontId="3" fillId="0" borderId="9" xfId="0" applyFont="1" applyBorder="1"/>
    <xf numFmtId="10" fontId="0" fillId="0" borderId="0" xfId="4" applyNumberFormat="1" applyFont="1"/>
    <xf numFmtId="168" fontId="2" fillId="0" borderId="0" xfId="4" applyNumberFormat="1" applyFont="1" applyFill="1" applyBorder="1"/>
    <xf numFmtId="167" fontId="0" fillId="0" borderId="0" xfId="0" applyNumberFormat="1"/>
    <xf numFmtId="0" fontId="2" fillId="0" borderId="2" xfId="0" applyFont="1" applyBorder="1" applyAlignment="1">
      <alignment horizontal="left"/>
    </xf>
    <xf numFmtId="164" fontId="0" fillId="0" borderId="0" xfId="4" applyNumberFormat="1" applyFont="1" applyFill="1" applyBorder="1" applyAlignment="1">
      <alignment horizontal="center"/>
    </xf>
    <xf numFmtId="164" fontId="2" fillId="0" borderId="0" xfId="0" applyNumberFormat="1" applyFont="1"/>
    <xf numFmtId="10" fontId="8" fillId="0" borderId="0" xfId="4" applyNumberFormat="1" applyFont="1" applyFill="1" applyBorder="1"/>
    <xf numFmtId="10" fontId="0" fillId="0" borderId="0" xfId="4" applyNumberFormat="1" applyFont="1" applyFill="1" applyBorder="1"/>
    <xf numFmtId="170" fontId="0" fillId="0" borderId="0" xfId="0" applyNumberFormat="1"/>
    <xf numFmtId="166" fontId="0" fillId="0" borderId="0" xfId="0" applyNumberFormat="1" applyAlignment="1">
      <alignment horizontal="center"/>
    </xf>
    <xf numFmtId="165" fontId="0" fillId="0" borderId="0" xfId="0" applyNumberFormat="1" applyAlignment="1">
      <alignment horizontal="center"/>
    </xf>
    <xf numFmtId="165" fontId="0" fillId="0" borderId="0" xfId="4" applyNumberFormat="1" applyFont="1" applyFill="1" applyBorder="1"/>
    <xf numFmtId="166" fontId="0" fillId="0" borderId="0" xfId="6" applyNumberFormat="1" applyFont="1" applyFill="1" applyBorder="1"/>
    <xf numFmtId="166" fontId="2" fillId="0" borderId="0" xfId="0" applyNumberFormat="1" applyFont="1" applyAlignment="1">
      <alignment horizontal="center"/>
    </xf>
    <xf numFmtId="165" fontId="2" fillId="0" borderId="0" xfId="0" applyNumberFormat="1" applyFont="1"/>
    <xf numFmtId="171" fontId="0" fillId="0" borderId="0" xfId="4" applyNumberFormat="1" applyFont="1"/>
    <xf numFmtId="10" fontId="0" fillId="20" borderId="2" xfId="4" applyNumberFormat="1" applyFont="1" applyFill="1" applyBorder="1" applyAlignment="1">
      <alignment horizontal="center"/>
    </xf>
    <xf numFmtId="0" fontId="2" fillId="19" borderId="24" xfId="0" applyFont="1" applyFill="1" applyBorder="1" applyAlignment="1">
      <alignment horizontal="center"/>
    </xf>
    <xf numFmtId="0" fontId="2" fillId="26" borderId="25" xfId="0" applyFont="1" applyFill="1" applyBorder="1" applyAlignment="1">
      <alignment horizontal="center"/>
    </xf>
    <xf numFmtId="0" fontId="0" fillId="20" borderId="3" xfId="0" applyFill="1" applyBorder="1" applyAlignment="1">
      <alignment horizontal="center"/>
    </xf>
    <xf numFmtId="0" fontId="0" fillId="8" borderId="24" xfId="0" applyFill="1" applyBorder="1"/>
    <xf numFmtId="0" fontId="0" fillId="15" borderId="24" xfId="0" applyFill="1" applyBorder="1"/>
    <xf numFmtId="0" fontId="0" fillId="29" borderId="24" xfId="0" applyFill="1" applyBorder="1"/>
    <xf numFmtId="0" fontId="0" fillId="19" borderId="24" xfId="0" applyFill="1" applyBorder="1"/>
    <xf numFmtId="0" fontId="2" fillId="23" borderId="24" xfId="0" applyFont="1" applyFill="1" applyBorder="1" applyAlignment="1">
      <alignment horizontal="center"/>
    </xf>
    <xf numFmtId="0" fontId="8" fillId="20" borderId="24" xfId="0" applyFont="1" applyFill="1" applyBorder="1" applyAlignment="1">
      <alignment horizontal="center"/>
    </xf>
    <xf numFmtId="0" fontId="0" fillId="16" borderId="24" xfId="0" applyFill="1" applyBorder="1"/>
    <xf numFmtId="0" fontId="8" fillId="20" borderId="25" xfId="0" applyFont="1" applyFill="1" applyBorder="1" applyAlignment="1">
      <alignment horizontal="center"/>
    </xf>
    <xf numFmtId="0" fontId="2" fillId="4" borderId="20" xfId="0" applyFont="1" applyFill="1" applyBorder="1" applyAlignment="1">
      <alignment horizontal="center"/>
    </xf>
    <xf numFmtId="0" fontId="2" fillId="4" borderId="18" xfId="0" applyFont="1" applyFill="1" applyBorder="1" applyAlignment="1">
      <alignment horizontal="center"/>
    </xf>
    <xf numFmtId="0" fontId="2" fillId="4" borderId="19" xfId="0" applyFont="1" applyFill="1" applyBorder="1" applyAlignment="1">
      <alignment horizontal="center"/>
    </xf>
    <xf numFmtId="0" fontId="0" fillId="0" borderId="24" xfId="0" applyBorder="1"/>
    <xf numFmtId="0" fontId="0" fillId="0" borderId="23" xfId="0" applyBorder="1"/>
    <xf numFmtId="0" fontId="2" fillId="10" borderId="24" xfId="0" applyFont="1" applyFill="1" applyBorder="1"/>
    <xf numFmtId="0" fontId="2" fillId="8" borderId="24" xfId="0" applyFont="1" applyFill="1" applyBorder="1"/>
    <xf numFmtId="0" fontId="2" fillId="26" borderId="24" xfId="0" applyFont="1" applyFill="1" applyBorder="1"/>
    <xf numFmtId="169" fontId="2" fillId="26" borderId="24" xfId="0" applyNumberFormat="1" applyFont="1" applyFill="1" applyBorder="1"/>
    <xf numFmtId="0" fontId="2" fillId="19" borderId="24" xfId="0" applyFont="1" applyFill="1" applyBorder="1"/>
    <xf numFmtId="0" fontId="2" fillId="19" borderId="25" xfId="0" applyFont="1" applyFill="1" applyBorder="1"/>
    <xf numFmtId="0" fontId="2" fillId="4" borderId="26" xfId="0" applyFont="1" applyFill="1" applyBorder="1" applyAlignment="1">
      <alignment horizontal="center"/>
    </xf>
    <xf numFmtId="0" fontId="2" fillId="20" borderId="24" xfId="0" applyFont="1" applyFill="1" applyBorder="1"/>
    <xf numFmtId="0" fontId="2" fillId="20" borderId="24" xfId="0" applyFont="1" applyFill="1" applyBorder="1" applyAlignment="1">
      <alignment horizontal="center"/>
    </xf>
    <xf numFmtId="0" fontId="0" fillId="18" borderId="24" xfId="0" applyFill="1" applyBorder="1"/>
    <xf numFmtId="0" fontId="0" fillId="23" borderId="24" xfId="0" applyFill="1" applyBorder="1"/>
    <xf numFmtId="0" fontId="2" fillId="4" borderId="24" xfId="0" applyFont="1" applyFill="1" applyBorder="1"/>
    <xf numFmtId="0" fontId="0" fillId="4" borderId="24" xfId="0" applyFill="1" applyBorder="1"/>
    <xf numFmtId="0" fontId="2" fillId="4" borderId="24" xfId="0" applyFont="1" applyFill="1" applyBorder="1" applyAlignment="1">
      <alignment horizontal="center"/>
    </xf>
    <xf numFmtId="0" fontId="2" fillId="17" borderId="24" xfId="0" applyFont="1" applyFill="1" applyBorder="1" applyAlignment="1">
      <alignment horizontal="center"/>
    </xf>
    <xf numFmtId="0" fontId="0" fillId="20" borderId="24" xfId="0" applyFill="1" applyBorder="1"/>
    <xf numFmtId="0" fontId="3" fillId="0" borderId="24" xfId="0" applyFont="1" applyBorder="1"/>
    <xf numFmtId="169" fontId="2" fillId="24" borderId="24" xfId="0" applyNumberFormat="1" applyFont="1" applyFill="1" applyBorder="1"/>
    <xf numFmtId="169" fontId="2" fillId="16" borderId="24" xfId="0" applyNumberFormat="1" applyFont="1" applyFill="1" applyBorder="1"/>
    <xf numFmtId="169" fontId="2" fillId="15" borderId="24" xfId="0" applyNumberFormat="1" applyFont="1" applyFill="1" applyBorder="1"/>
    <xf numFmtId="169" fontId="2" fillId="25" borderId="24" xfId="0" applyNumberFormat="1" applyFont="1" applyFill="1" applyBorder="1"/>
    <xf numFmtId="169" fontId="2" fillId="19" borderId="24" xfId="0" applyNumberFormat="1" applyFont="1" applyFill="1" applyBorder="1"/>
    <xf numFmtId="169" fontId="2" fillId="23" borderId="24" xfId="0" applyNumberFormat="1" applyFont="1" applyFill="1" applyBorder="1"/>
    <xf numFmtId="0" fontId="4" fillId="0" borderId="25" xfId="2" applyBorder="1"/>
    <xf numFmtId="0" fontId="0" fillId="0" borderId="13" xfId="0" applyBorder="1"/>
    <xf numFmtId="0" fontId="2" fillId="0" borderId="23" xfId="0" applyFont="1" applyBorder="1"/>
    <xf numFmtId="0" fontId="0" fillId="0" borderId="24" xfId="0" applyBorder="1" applyAlignment="1">
      <alignment horizontal="left" indent="3"/>
    </xf>
    <xf numFmtId="0" fontId="2" fillId="0" borderId="24" xfId="0" applyFont="1" applyBorder="1" applyAlignment="1">
      <alignment horizontal="left" indent="3"/>
    </xf>
    <xf numFmtId="0" fontId="2" fillId="0" borderId="24" xfId="0" applyFont="1" applyBorder="1"/>
    <xf numFmtId="0" fontId="2" fillId="0" borderId="24" xfId="0" applyFont="1" applyBorder="1" applyAlignment="1">
      <alignment horizontal="center"/>
    </xf>
    <xf numFmtId="0" fontId="0" fillId="0" borderId="25" xfId="0" applyBorder="1"/>
    <xf numFmtId="165" fontId="0" fillId="18" borderId="32" xfId="0" applyNumberFormat="1" applyFill="1" applyBorder="1"/>
    <xf numFmtId="165" fontId="0" fillId="18" borderId="33" xfId="0" applyNumberFormat="1" applyFill="1" applyBorder="1"/>
    <xf numFmtId="0" fontId="0" fillId="0" borderId="31" xfId="0" applyBorder="1"/>
    <xf numFmtId="0" fontId="0" fillId="0" borderId="18" xfId="0" applyBorder="1"/>
    <xf numFmtId="0" fontId="0" fillId="0" borderId="19" xfId="0" applyBorder="1"/>
    <xf numFmtId="166" fontId="0" fillId="0" borderId="30" xfId="0" applyNumberFormat="1" applyBorder="1"/>
    <xf numFmtId="166" fontId="0" fillId="0" borderId="28" xfId="0" applyNumberFormat="1" applyBorder="1"/>
    <xf numFmtId="0" fontId="0" fillId="0" borderId="29" xfId="0" applyBorder="1"/>
    <xf numFmtId="10" fontId="2" fillId="8" borderId="33" xfId="4" applyNumberFormat="1" applyFont="1" applyFill="1" applyBorder="1"/>
    <xf numFmtId="168" fontId="2" fillId="8" borderId="33" xfId="4" applyNumberFormat="1" applyFont="1" applyFill="1" applyBorder="1"/>
    <xf numFmtId="168" fontId="2" fillId="17" borderId="33" xfId="4" applyNumberFormat="1" applyFont="1" applyFill="1" applyBorder="1"/>
    <xf numFmtId="169" fontId="2" fillId="26" borderId="32" xfId="0" applyNumberFormat="1" applyFont="1" applyFill="1" applyBorder="1"/>
    <xf numFmtId="0" fontId="2" fillId="26" borderId="32" xfId="0" applyFont="1" applyFill="1" applyBorder="1"/>
    <xf numFmtId="169" fontId="2" fillId="19" borderId="32" xfId="0" applyNumberFormat="1" applyFont="1" applyFill="1" applyBorder="1"/>
    <xf numFmtId="169" fontId="2" fillId="19" borderId="31" xfId="0" applyNumberFormat="1" applyFont="1" applyFill="1" applyBorder="1"/>
    <xf numFmtId="10" fontId="8" fillId="13" borderId="3" xfId="4" applyNumberFormat="1" applyFont="1" applyFill="1" applyBorder="1"/>
    <xf numFmtId="10" fontId="8" fillId="14" borderId="3" xfId="4" applyNumberFormat="1" applyFont="1" applyFill="1" applyBorder="1"/>
    <xf numFmtId="0" fontId="2" fillId="4" borderId="25" xfId="0" applyFont="1" applyFill="1" applyBorder="1" applyAlignment="1">
      <alignment horizontal="center"/>
    </xf>
    <xf numFmtId="0" fontId="8" fillId="26" borderId="24" xfId="0" applyFont="1" applyFill="1" applyBorder="1"/>
    <xf numFmtId="0" fontId="2" fillId="7" borderId="24" xfId="0" applyFont="1" applyFill="1" applyBorder="1"/>
    <xf numFmtId="0" fontId="8" fillId="13" borderId="24" xfId="0" applyFont="1" applyFill="1" applyBorder="1"/>
    <xf numFmtId="0" fontId="8" fillId="14" borderId="24" xfId="0" applyFont="1" applyFill="1" applyBorder="1"/>
    <xf numFmtId="0" fontId="8" fillId="11" borderId="25" xfId="0" applyFont="1" applyFill="1" applyBorder="1"/>
    <xf numFmtId="10" fontId="8" fillId="9" borderId="33" xfId="4" applyNumberFormat="1" applyFont="1" applyFill="1" applyBorder="1"/>
    <xf numFmtId="0" fontId="0" fillId="13" borderId="33" xfId="0" applyFill="1" applyBorder="1" applyAlignment="1">
      <alignment horizontal="center"/>
    </xf>
    <xf numFmtId="10" fontId="0" fillId="7" borderId="33" xfId="4" applyNumberFormat="1" applyFont="1" applyFill="1" applyBorder="1"/>
    <xf numFmtId="10" fontId="7" fillId="7" borderId="33" xfId="4" applyNumberFormat="1" applyFont="1" applyFill="1" applyBorder="1"/>
    <xf numFmtId="10" fontId="8" fillId="8" borderId="33" xfId="4" applyNumberFormat="1" applyFont="1" applyFill="1" applyBorder="1"/>
    <xf numFmtId="10" fontId="0" fillId="14" borderId="33" xfId="4" applyNumberFormat="1" applyFont="1" applyFill="1" applyBorder="1" applyAlignment="1">
      <alignment horizontal="center"/>
    </xf>
    <xf numFmtId="10" fontId="8" fillId="10" borderId="33" xfId="4" applyNumberFormat="1" applyFont="1" applyFill="1" applyBorder="1"/>
    <xf numFmtId="0" fontId="0" fillId="11" borderId="20" xfId="0" applyFill="1" applyBorder="1" applyAlignment="1">
      <alignment horizontal="center"/>
    </xf>
    <xf numFmtId="10" fontId="8" fillId="11" borderId="18" xfId="4" applyNumberFormat="1" applyFont="1" applyFill="1" applyBorder="1"/>
    <xf numFmtId="0" fontId="0" fillId="11" borderId="19" xfId="0" applyFill="1" applyBorder="1"/>
    <xf numFmtId="0" fontId="0" fillId="0" borderId="24" xfId="0" applyBorder="1" applyAlignment="1">
      <alignment horizontal="left"/>
    </xf>
    <xf numFmtId="0" fontId="0" fillId="0" borderId="35" xfId="0" applyBorder="1"/>
    <xf numFmtId="10" fontId="7" fillId="0" borderId="33" xfId="4" applyNumberFormat="1" applyFont="1" applyFill="1" applyBorder="1"/>
    <xf numFmtId="10" fontId="0" fillId="0" borderId="33" xfId="4" applyNumberFormat="1" applyFont="1" applyFill="1" applyBorder="1"/>
    <xf numFmtId="10" fontId="8" fillId="7" borderId="33" xfId="4" applyNumberFormat="1" applyFont="1" applyFill="1" applyBorder="1"/>
    <xf numFmtId="0" fontId="2" fillId="15" borderId="24" xfId="0" applyFont="1" applyFill="1" applyBorder="1" applyAlignment="1">
      <alignment horizontal="center"/>
    </xf>
    <xf numFmtId="0" fontId="2" fillId="16" borderId="24" xfId="0" applyFont="1" applyFill="1" applyBorder="1" applyAlignment="1">
      <alignment horizontal="center"/>
    </xf>
    <xf numFmtId="0" fontId="2" fillId="8" borderId="24" xfId="0" applyFont="1" applyFill="1" applyBorder="1" applyAlignment="1">
      <alignment horizontal="center"/>
    </xf>
    <xf numFmtId="0" fontId="8" fillId="20" borderId="24" xfId="0" applyFont="1" applyFill="1" applyBorder="1"/>
    <xf numFmtId="0" fontId="8" fillId="4" borderId="24" xfId="0" applyFont="1" applyFill="1" applyBorder="1" applyAlignment="1">
      <alignment wrapText="1"/>
    </xf>
    <xf numFmtId="0" fontId="8" fillId="8" borderId="24" xfId="0" applyFont="1" applyFill="1" applyBorder="1"/>
    <xf numFmtId="0" fontId="8" fillId="17" borderId="24" xfId="0" applyFont="1" applyFill="1" applyBorder="1"/>
    <xf numFmtId="0" fontId="2" fillId="8" borderId="25" xfId="0" applyFont="1" applyFill="1" applyBorder="1" applyAlignment="1">
      <alignment horizontal="center"/>
    </xf>
    <xf numFmtId="165" fontId="0" fillId="19" borderId="32" xfId="0" applyNumberFormat="1" applyFill="1" applyBorder="1"/>
    <xf numFmtId="165" fontId="0" fillId="19" borderId="33" xfId="0" applyNumberFormat="1" applyFill="1" applyBorder="1"/>
    <xf numFmtId="0" fontId="0" fillId="18" borderId="32" xfId="0" applyFill="1" applyBorder="1"/>
    <xf numFmtId="0" fontId="0" fillId="18" borderId="33" xfId="0" applyFill="1" applyBorder="1"/>
    <xf numFmtId="168" fontId="2" fillId="4" borderId="32" xfId="4" applyNumberFormat="1" applyFont="1" applyFill="1" applyBorder="1"/>
    <xf numFmtId="168" fontId="2" fillId="4" borderId="33" xfId="4" applyNumberFormat="1" applyFont="1" applyFill="1" applyBorder="1"/>
    <xf numFmtId="168" fontId="2" fillId="8" borderId="32" xfId="4" applyNumberFormat="1" applyFont="1" applyFill="1" applyBorder="1"/>
    <xf numFmtId="168" fontId="2" fillId="17" borderId="32" xfId="4" applyNumberFormat="1" applyFont="1" applyFill="1" applyBorder="1"/>
    <xf numFmtId="0" fontId="2" fillId="0" borderId="23" xfId="0" applyFont="1" applyBorder="1" applyAlignment="1">
      <alignment horizontal="center"/>
    </xf>
    <xf numFmtId="0" fontId="2" fillId="0" borderId="24" xfId="0" applyFont="1" applyBorder="1" applyAlignment="1">
      <alignment horizontal="left"/>
    </xf>
    <xf numFmtId="0" fontId="8" fillId="0" borderId="24" xfId="0" applyFont="1" applyBorder="1"/>
    <xf numFmtId="165" fontId="0" fillId="0" borderId="30" xfId="0" applyNumberFormat="1" applyBorder="1"/>
    <xf numFmtId="165" fontId="0" fillId="0" borderId="28" xfId="0" applyNumberFormat="1" applyBorder="1"/>
    <xf numFmtId="165" fontId="0" fillId="0" borderId="29" xfId="0" applyNumberFormat="1" applyBorder="1"/>
    <xf numFmtId="0" fontId="2" fillId="0" borderId="32" xfId="0" applyFont="1" applyBorder="1" applyAlignment="1">
      <alignment horizontal="left"/>
    </xf>
    <xf numFmtId="0" fontId="2" fillId="0" borderId="33" xfId="0" applyFont="1" applyBorder="1" applyAlignment="1">
      <alignment horizontal="left"/>
    </xf>
    <xf numFmtId="2" fontId="0" fillId="30" borderId="32" xfId="0" applyNumberFormat="1" applyFill="1" applyBorder="1"/>
    <xf numFmtId="2" fontId="0" fillId="30" borderId="33" xfId="0" applyNumberFormat="1" applyFill="1" applyBorder="1"/>
    <xf numFmtId="2" fontId="0" fillId="6" borderId="32" xfId="0" applyNumberFormat="1" applyFill="1" applyBorder="1"/>
    <xf numFmtId="2" fontId="0" fillId="6" borderId="33" xfId="0" applyNumberFormat="1" applyFill="1" applyBorder="1"/>
    <xf numFmtId="2" fontId="0" fillId="5" borderId="32" xfId="0" applyNumberFormat="1" applyFill="1" applyBorder="1"/>
    <xf numFmtId="2" fontId="0" fillId="5" borderId="33" xfId="0" applyNumberFormat="1" applyFill="1" applyBorder="1"/>
    <xf numFmtId="2" fontId="0" fillId="18" borderId="32" xfId="0" applyNumberFormat="1" applyFill="1" applyBorder="1"/>
    <xf numFmtId="2" fontId="0" fillId="18" borderId="33" xfId="0" applyNumberFormat="1" applyFill="1" applyBorder="1"/>
    <xf numFmtId="2" fontId="0" fillId="7" borderId="32" xfId="0" applyNumberFormat="1" applyFill="1" applyBorder="1"/>
    <xf numFmtId="2" fontId="0" fillId="7" borderId="33" xfId="0" applyNumberFormat="1" applyFill="1" applyBorder="1"/>
    <xf numFmtId="0" fontId="2" fillId="0" borderId="14" xfId="0" applyFont="1" applyBorder="1" applyAlignment="1">
      <alignment horizontal="center"/>
    </xf>
    <xf numFmtId="0" fontId="2" fillId="0" borderId="25" xfId="0" applyFont="1" applyBorder="1" applyAlignment="1">
      <alignment horizontal="center"/>
    </xf>
    <xf numFmtId="0" fontId="2" fillId="0" borderId="43" xfId="0" applyFont="1" applyBorder="1" applyAlignment="1">
      <alignment horizontal="center"/>
    </xf>
    <xf numFmtId="0" fontId="2" fillId="0" borderId="37" xfId="0" applyFont="1" applyBorder="1" applyAlignment="1">
      <alignment horizontal="center"/>
    </xf>
    <xf numFmtId="0" fontId="2" fillId="0" borderId="38" xfId="0" applyFont="1" applyBorder="1"/>
    <xf numFmtId="10" fontId="0" fillId="20" borderId="18" xfId="4" applyNumberFormat="1" applyFont="1" applyFill="1" applyBorder="1" applyAlignment="1">
      <alignment horizontal="center"/>
    </xf>
    <xf numFmtId="10" fontId="0" fillId="20" borderId="13" xfId="4" applyNumberFormat="1" applyFont="1" applyFill="1" applyBorder="1" applyAlignment="1">
      <alignment horizontal="center"/>
    </xf>
    <xf numFmtId="0" fontId="17" fillId="0" borderId="0" xfId="0" applyFont="1" applyAlignment="1">
      <alignment vertical="center" wrapText="1"/>
    </xf>
    <xf numFmtId="0" fontId="16" fillId="0" borderId="0" xfId="0" applyFont="1" applyAlignment="1">
      <alignment vertical="center" wrapText="1"/>
    </xf>
    <xf numFmtId="172" fontId="0" fillId="8" borderId="2" xfId="0" applyNumberFormat="1" applyFill="1" applyBorder="1"/>
    <xf numFmtId="172" fontId="4" fillId="0" borderId="0" xfId="2" applyNumberFormat="1" applyBorder="1"/>
    <xf numFmtId="172" fontId="0" fillId="0" borderId="0" xfId="0" applyNumberFormat="1"/>
    <xf numFmtId="172" fontId="3" fillId="0" borderId="0" xfId="0" applyNumberFormat="1" applyFont="1"/>
    <xf numFmtId="172" fontId="2" fillId="4" borderId="16" xfId="0" applyNumberFormat="1" applyFont="1" applyFill="1" applyBorder="1" applyAlignment="1">
      <alignment horizontal="center"/>
    </xf>
    <xf numFmtId="172" fontId="8" fillId="3" borderId="29" xfId="5" applyNumberFormat="1" applyFont="1" applyBorder="1" applyAlignment="1">
      <alignment horizontal="center"/>
    </xf>
    <xf numFmtId="172" fontId="0" fillId="0" borderId="4" xfId="0" applyNumberFormat="1" applyBorder="1"/>
    <xf numFmtId="172" fontId="2" fillId="4" borderId="15" xfId="0" applyNumberFormat="1" applyFont="1" applyFill="1" applyBorder="1" applyAlignment="1">
      <alignment horizontal="center"/>
    </xf>
    <xf numFmtId="172" fontId="2" fillId="4" borderId="17" xfId="0" applyNumberFormat="1" applyFont="1" applyFill="1" applyBorder="1" applyAlignment="1">
      <alignment horizontal="center"/>
    </xf>
    <xf numFmtId="172" fontId="8" fillId="3" borderId="19" xfId="5" applyNumberFormat="1" applyFont="1" applyBorder="1" applyAlignment="1">
      <alignment horizontal="center"/>
    </xf>
    <xf numFmtId="172" fontId="2" fillId="5" borderId="23" xfId="0" applyNumberFormat="1" applyFont="1" applyFill="1" applyBorder="1"/>
    <xf numFmtId="172" fontId="0" fillId="5" borderId="8" xfId="0" applyNumberFormat="1" applyFill="1" applyBorder="1"/>
    <xf numFmtId="172" fontId="0" fillId="5" borderId="13" xfId="0" applyNumberFormat="1" applyFill="1" applyBorder="1"/>
    <xf numFmtId="172" fontId="0" fillId="5" borderId="35" xfId="0" applyNumberFormat="1" applyFill="1" applyBorder="1"/>
    <xf numFmtId="172" fontId="2" fillId="12" borderId="34" xfId="0" applyNumberFormat="1" applyFont="1" applyFill="1" applyBorder="1"/>
    <xf numFmtId="172" fontId="0" fillId="5" borderId="24" xfId="0" applyNumberFormat="1" applyFill="1" applyBorder="1" applyAlignment="1">
      <alignment horizontal="left"/>
    </xf>
    <xf numFmtId="172" fontId="2" fillId="11" borderId="32" xfId="0" applyNumberFormat="1" applyFont="1" applyFill="1" applyBorder="1"/>
    <xf numFmtId="172" fontId="2" fillId="13" borderId="32" xfId="0" applyNumberFormat="1" applyFont="1" applyFill="1" applyBorder="1"/>
    <xf numFmtId="172" fontId="2" fillId="8" borderId="24" xfId="0" applyNumberFormat="1" applyFont="1" applyFill="1" applyBorder="1"/>
    <xf numFmtId="172" fontId="2" fillId="8" borderId="2" xfId="0" applyNumberFormat="1" applyFont="1" applyFill="1" applyBorder="1"/>
    <xf numFmtId="172" fontId="2" fillId="14" borderId="31" xfId="0" applyNumberFormat="1" applyFont="1" applyFill="1" applyBorder="1"/>
    <xf numFmtId="172" fontId="8" fillId="26" borderId="24" xfId="0" applyNumberFormat="1" applyFont="1" applyFill="1" applyBorder="1"/>
    <xf numFmtId="172" fontId="0" fillId="26" borderId="3" xfId="4" applyNumberFormat="1" applyFont="1" applyFill="1" applyBorder="1" applyAlignment="1">
      <alignment horizontal="center"/>
    </xf>
    <xf numFmtId="172" fontId="0" fillId="0" borderId="6" xfId="0" applyNumberFormat="1" applyBorder="1"/>
    <xf numFmtId="172" fontId="2" fillId="6" borderId="24" xfId="0" applyNumberFormat="1" applyFont="1" applyFill="1" applyBorder="1"/>
    <xf numFmtId="172" fontId="0" fillId="6" borderId="3" xfId="0" applyNumberFormat="1" applyFill="1" applyBorder="1"/>
    <xf numFmtId="172" fontId="0" fillId="6" borderId="2" xfId="0" applyNumberFormat="1" applyFill="1" applyBorder="1"/>
    <xf numFmtId="172" fontId="0" fillId="6" borderId="24" xfId="0" applyNumberFormat="1" applyFill="1" applyBorder="1"/>
    <xf numFmtId="172" fontId="2" fillId="7" borderId="24" xfId="0" applyNumberFormat="1" applyFont="1" applyFill="1" applyBorder="1"/>
    <xf numFmtId="172" fontId="8" fillId="13" borderId="24" xfId="0" applyNumberFormat="1" applyFont="1" applyFill="1" applyBorder="1"/>
    <xf numFmtId="172" fontId="0" fillId="7" borderId="24" xfId="0" applyNumberFormat="1" applyFill="1" applyBorder="1"/>
    <xf numFmtId="172" fontId="8" fillId="14" borderId="24" xfId="0" applyNumberFormat="1" applyFont="1" applyFill="1" applyBorder="1"/>
    <xf numFmtId="172" fontId="2" fillId="10" borderId="24" xfId="0" applyNumberFormat="1" applyFont="1" applyFill="1" applyBorder="1"/>
    <xf numFmtId="172" fontId="0" fillId="0" borderId="7" xfId="0" applyNumberFormat="1" applyBorder="1"/>
    <xf numFmtId="172" fontId="0" fillId="0" borderId="8" xfId="0" applyNumberFormat="1" applyBorder="1"/>
    <xf numFmtId="172" fontId="8" fillId="11" borderId="25" xfId="0" applyNumberFormat="1" applyFont="1" applyFill="1" applyBorder="1"/>
    <xf numFmtId="172" fontId="4" fillId="0" borderId="0" xfId="2" applyNumberFormat="1"/>
    <xf numFmtId="172" fontId="2" fillId="0" borderId="0" xfId="0" applyNumberFormat="1" applyFont="1"/>
    <xf numFmtId="172" fontId="13" fillId="0" borderId="0" xfId="0" applyNumberFormat="1" applyFont="1"/>
    <xf numFmtId="172" fontId="0" fillId="0" borderId="2" xfId="0" applyNumberFormat="1" applyBorder="1" applyAlignment="1">
      <alignment horizontal="left"/>
    </xf>
    <xf numFmtId="172" fontId="0" fillId="0" borderId="2" xfId="0" applyNumberFormat="1" applyBorder="1"/>
    <xf numFmtId="172" fontId="0" fillId="19" borderId="2" xfId="4" applyNumberFormat="1" applyFont="1" applyFill="1" applyBorder="1" applyAlignment="1">
      <alignment horizontal="center"/>
    </xf>
    <xf numFmtId="172" fontId="0" fillId="15" borderId="2" xfId="0" applyNumberFormat="1" applyFill="1" applyBorder="1"/>
    <xf numFmtId="172" fontId="17" fillId="0" borderId="0" xfId="0" applyNumberFormat="1" applyFont="1" applyAlignment="1">
      <alignment vertical="center" wrapText="1"/>
    </xf>
    <xf numFmtId="172" fontId="16" fillId="0" borderId="0" xfId="0" applyNumberFormat="1" applyFont="1" applyAlignment="1">
      <alignment vertical="center" wrapText="1"/>
    </xf>
    <xf numFmtId="172" fontId="0" fillId="20" borderId="13" xfId="0" applyNumberFormat="1" applyFill="1" applyBorder="1" applyAlignment="1">
      <alignment horizontal="center"/>
    </xf>
    <xf numFmtId="172" fontId="0" fillId="20" borderId="35" xfId="0" applyNumberFormat="1" applyFill="1" applyBorder="1" applyAlignment="1">
      <alignment horizontal="center"/>
    </xf>
    <xf numFmtId="172" fontId="2" fillId="23" borderId="24" xfId="0" applyNumberFormat="1" applyFont="1" applyFill="1" applyBorder="1" applyAlignment="1">
      <alignment horizontal="center"/>
    </xf>
    <xf numFmtId="172" fontId="0" fillId="20" borderId="33" xfId="0" applyNumberFormat="1" applyFill="1" applyBorder="1" applyAlignment="1">
      <alignment horizontal="center"/>
    </xf>
    <xf numFmtId="172" fontId="0" fillId="20" borderId="19" xfId="0" applyNumberFormat="1" applyFill="1" applyBorder="1" applyAlignment="1">
      <alignment horizontal="center"/>
    </xf>
    <xf numFmtId="172" fontId="2" fillId="0" borderId="2" xfId="0" applyNumberFormat="1" applyFont="1" applyBorder="1"/>
    <xf numFmtId="172" fontId="2" fillId="0" borderId="26" xfId="0" applyNumberFormat="1" applyFont="1" applyBorder="1" applyAlignment="1">
      <alignment horizontal="center"/>
    </xf>
    <xf numFmtId="172" fontId="0" fillId="0" borderId="17" xfId="0" applyNumberFormat="1" applyBorder="1"/>
    <xf numFmtId="172" fontId="0" fillId="0" borderId="0" xfId="4" applyNumberFormat="1" applyFont="1"/>
    <xf numFmtId="172" fontId="2" fillId="4" borderId="36" xfId="0" applyNumberFormat="1" applyFont="1" applyFill="1" applyBorder="1" applyAlignment="1">
      <alignment horizontal="center"/>
    </xf>
    <xf numFmtId="172" fontId="2" fillId="4" borderId="37" xfId="0" applyNumberFormat="1" applyFont="1" applyFill="1" applyBorder="1" applyAlignment="1">
      <alignment horizontal="center"/>
    </xf>
    <xf numFmtId="172" fontId="2" fillId="4" borderId="38" xfId="0" applyNumberFormat="1" applyFont="1" applyFill="1" applyBorder="1"/>
    <xf numFmtId="172" fontId="2" fillId="19" borderId="23" xfId="0" applyNumberFormat="1" applyFont="1" applyFill="1" applyBorder="1" applyAlignment="1">
      <alignment horizontal="center"/>
    </xf>
    <xf numFmtId="172" fontId="2" fillId="19" borderId="24" xfId="0" applyNumberFormat="1" applyFont="1" applyFill="1" applyBorder="1" applyAlignment="1">
      <alignment horizontal="center"/>
    </xf>
    <xf numFmtId="172" fontId="2" fillId="30" borderId="32" xfId="0" applyNumberFormat="1" applyFont="1" applyFill="1" applyBorder="1"/>
    <xf numFmtId="172" fontId="2" fillId="30" borderId="33" xfId="0" applyNumberFormat="1" applyFont="1" applyFill="1" applyBorder="1"/>
    <xf numFmtId="172" fontId="2" fillId="6" borderId="32" xfId="0" applyNumberFormat="1" applyFont="1" applyFill="1" applyBorder="1"/>
    <xf numFmtId="172" fontId="2" fillId="6" borderId="33" xfId="0" applyNumberFormat="1" applyFont="1" applyFill="1" applyBorder="1"/>
    <xf numFmtId="172" fontId="2" fillId="5" borderId="32" xfId="0" applyNumberFormat="1" applyFont="1" applyFill="1" applyBorder="1"/>
    <xf numFmtId="172" fontId="2" fillId="5" borderId="33" xfId="0" applyNumberFormat="1" applyFont="1" applyFill="1" applyBorder="1"/>
    <xf numFmtId="172" fontId="2" fillId="18" borderId="32" xfId="0" applyNumberFormat="1" applyFont="1" applyFill="1" applyBorder="1"/>
    <xf numFmtId="172" fontId="2" fillId="18" borderId="33" xfId="0" applyNumberFormat="1" applyFont="1" applyFill="1" applyBorder="1"/>
    <xf numFmtId="172" fontId="2" fillId="7" borderId="32" xfId="0" applyNumberFormat="1" applyFont="1" applyFill="1" applyBorder="1"/>
    <xf numFmtId="172" fontId="2" fillId="7" borderId="33" xfId="0" applyNumberFormat="1" applyFont="1" applyFill="1" applyBorder="1"/>
    <xf numFmtId="172" fontId="0" fillId="30" borderId="32" xfId="0" applyNumberFormat="1" applyFill="1" applyBorder="1"/>
    <xf numFmtId="172" fontId="0" fillId="30" borderId="33" xfId="0" applyNumberFormat="1" applyFill="1" applyBorder="1"/>
    <xf numFmtId="172" fontId="0" fillId="6" borderId="32" xfId="0" applyNumberFormat="1" applyFill="1" applyBorder="1"/>
    <xf numFmtId="172" fontId="0" fillId="6" borderId="33" xfId="0" applyNumberFormat="1" applyFill="1" applyBorder="1"/>
    <xf numFmtId="172" fontId="0" fillId="5" borderId="32" xfId="0" applyNumberFormat="1" applyFill="1" applyBorder="1"/>
    <xf numFmtId="172" fontId="0" fillId="5" borderId="33" xfId="0" applyNumberFormat="1" applyFill="1" applyBorder="1"/>
    <xf numFmtId="172" fontId="0" fillId="18" borderId="32" xfId="0" applyNumberFormat="1" applyFill="1" applyBorder="1"/>
    <xf numFmtId="172" fontId="0" fillId="18" borderId="33" xfId="0" applyNumberFormat="1" applyFill="1" applyBorder="1"/>
    <xf numFmtId="172" fontId="0" fillId="7" borderId="32" xfId="0" applyNumberFormat="1" applyFill="1" applyBorder="1"/>
    <xf numFmtId="172" fontId="0" fillId="7" borderId="33" xfId="0" applyNumberFormat="1" applyFill="1" applyBorder="1"/>
    <xf numFmtId="172" fontId="2" fillId="0" borderId="0" xfId="0" applyNumberFormat="1" applyFont="1" applyAlignment="1">
      <alignment horizontal="center"/>
    </xf>
    <xf numFmtId="172" fontId="0" fillId="8" borderId="23" xfId="0" applyNumberFormat="1" applyFill="1" applyBorder="1"/>
    <xf numFmtId="172" fontId="0" fillId="15" borderId="24" xfId="0" applyNumberFormat="1" applyFill="1" applyBorder="1"/>
    <xf numFmtId="172" fontId="0" fillId="15" borderId="3" xfId="0" applyNumberFormat="1" applyFill="1" applyBorder="1"/>
    <xf numFmtId="172" fontId="0" fillId="29" borderId="24" xfId="0" applyNumberFormat="1" applyFill="1" applyBorder="1"/>
    <xf numFmtId="172" fontId="0" fillId="29" borderId="3" xfId="0" applyNumberFormat="1" applyFill="1" applyBorder="1"/>
    <xf numFmtId="172" fontId="0" fillId="29" borderId="2" xfId="0" applyNumberFormat="1" applyFill="1" applyBorder="1"/>
    <xf numFmtId="172" fontId="0" fillId="19" borderId="24" xfId="0" applyNumberFormat="1" applyFill="1" applyBorder="1"/>
    <xf numFmtId="172" fontId="8" fillId="20" borderId="24" xfId="0" applyNumberFormat="1" applyFont="1" applyFill="1" applyBorder="1" applyAlignment="1">
      <alignment horizontal="center"/>
    </xf>
    <xf numFmtId="172" fontId="8" fillId="20" borderId="3" xfId="0" applyNumberFormat="1" applyFont="1" applyFill="1" applyBorder="1" applyAlignment="1">
      <alignment horizontal="center"/>
    </xf>
    <xf numFmtId="172" fontId="0" fillId="8" borderId="24" xfId="0" applyNumberFormat="1" applyFill="1" applyBorder="1"/>
    <xf numFmtId="172" fontId="0" fillId="8" borderId="3" xfId="0" applyNumberFormat="1" applyFill="1" applyBorder="1"/>
    <xf numFmtId="172" fontId="2" fillId="20" borderId="3" xfId="0" applyNumberFormat="1" applyFont="1" applyFill="1" applyBorder="1" applyAlignment="1">
      <alignment horizontal="center"/>
    </xf>
    <xf numFmtId="172" fontId="0" fillId="0" borderId="9" xfId="0" applyNumberFormat="1" applyBorder="1"/>
    <xf numFmtId="172" fontId="4" fillId="0" borderId="7" xfId="2" applyNumberFormat="1" applyBorder="1"/>
    <xf numFmtId="172" fontId="2" fillId="4" borderId="2" xfId="0" applyNumberFormat="1" applyFont="1" applyFill="1" applyBorder="1" applyAlignment="1">
      <alignment horizontal="center"/>
    </xf>
    <xf numFmtId="172" fontId="2" fillId="22" borderId="2" xfId="0" applyNumberFormat="1" applyFont="1" applyFill="1" applyBorder="1" applyAlignment="1">
      <alignment horizontal="center"/>
    </xf>
    <xf numFmtId="172" fontId="2" fillId="4" borderId="2" xfId="0" applyNumberFormat="1" applyFont="1" applyFill="1" applyBorder="1"/>
    <xf numFmtId="172" fontId="2" fillId="12" borderId="2" xfId="0" applyNumberFormat="1" applyFont="1" applyFill="1" applyBorder="1"/>
    <xf numFmtId="172" fontId="2" fillId="11" borderId="2" xfId="0" applyNumberFormat="1" applyFont="1" applyFill="1" applyBorder="1"/>
    <xf numFmtId="172" fontId="2" fillId="13" borderId="2" xfId="0" applyNumberFormat="1" applyFont="1" applyFill="1" applyBorder="1"/>
    <xf numFmtId="172" fontId="2" fillId="17" borderId="2" xfId="0" applyNumberFormat="1" applyFont="1" applyFill="1" applyBorder="1"/>
    <xf numFmtId="172" fontId="2" fillId="14" borderId="2" xfId="0" applyNumberFormat="1" applyFont="1" applyFill="1" applyBorder="1"/>
    <xf numFmtId="172" fontId="0" fillId="4" borderId="20" xfId="0" applyNumberFormat="1" applyFill="1" applyBorder="1"/>
    <xf numFmtId="172" fontId="2" fillId="20" borderId="23" xfId="0" applyNumberFormat="1" applyFont="1" applyFill="1" applyBorder="1"/>
    <xf numFmtId="172" fontId="0" fillId="20" borderId="30" xfId="0" applyNumberFormat="1" applyFill="1" applyBorder="1"/>
    <xf numFmtId="172" fontId="0" fillId="20" borderId="28" xfId="0" applyNumberFormat="1" applyFill="1" applyBorder="1"/>
    <xf numFmtId="172" fontId="0" fillId="20" borderId="29" xfId="0" applyNumberFormat="1" applyFill="1" applyBorder="1"/>
    <xf numFmtId="172" fontId="2" fillId="10" borderId="23" xfId="0" applyNumberFormat="1" applyFont="1" applyFill="1" applyBorder="1"/>
    <xf numFmtId="172" fontId="2" fillId="10" borderId="30" xfId="0" applyNumberFormat="1" applyFont="1" applyFill="1" applyBorder="1"/>
    <xf numFmtId="172" fontId="2" fillId="10" borderId="28" xfId="0" applyNumberFormat="1" applyFont="1" applyFill="1" applyBorder="1"/>
    <xf numFmtId="172" fontId="2" fillId="10" borderId="29" xfId="0" applyNumberFormat="1" applyFont="1" applyFill="1" applyBorder="1"/>
    <xf numFmtId="172" fontId="0" fillId="20" borderId="24" xfId="0" applyNumberFormat="1" applyFill="1" applyBorder="1" applyAlignment="1">
      <alignment horizontal="left" indent="3"/>
    </xf>
    <xf numFmtId="172" fontId="2" fillId="10" borderId="32" xfId="0" applyNumberFormat="1" applyFont="1" applyFill="1" applyBorder="1"/>
    <xf numFmtId="172" fontId="2" fillId="20" borderId="24" xfId="0" applyNumberFormat="1" applyFont="1" applyFill="1" applyBorder="1" applyAlignment="1">
      <alignment horizontal="left" indent="3"/>
    </xf>
    <xf numFmtId="172" fontId="2" fillId="8" borderId="32" xfId="0" applyNumberFormat="1" applyFont="1" applyFill="1" applyBorder="1"/>
    <xf numFmtId="172" fontId="2" fillId="20" borderId="24" xfId="0" applyNumberFormat="1" applyFont="1" applyFill="1" applyBorder="1"/>
    <xf numFmtId="172" fontId="2" fillId="17" borderId="24" xfId="0" applyNumberFormat="1" applyFont="1" applyFill="1" applyBorder="1"/>
    <xf numFmtId="172" fontId="2" fillId="17" borderId="32" xfId="0" applyNumberFormat="1" applyFont="1" applyFill="1" applyBorder="1"/>
    <xf numFmtId="172" fontId="2" fillId="20" borderId="24" xfId="0" applyNumberFormat="1" applyFont="1" applyFill="1" applyBorder="1" applyAlignment="1">
      <alignment horizontal="center"/>
    </xf>
    <xf numFmtId="172" fontId="0" fillId="18" borderId="24" xfId="0" applyNumberFormat="1" applyFill="1" applyBorder="1"/>
    <xf numFmtId="172" fontId="2" fillId="21" borderId="24" xfId="0" applyNumberFormat="1" applyFont="1" applyFill="1" applyBorder="1"/>
    <xf numFmtId="172" fontId="2" fillId="21" borderId="32" xfId="0" applyNumberFormat="1" applyFont="1" applyFill="1" applyBorder="1"/>
    <xf numFmtId="172" fontId="2" fillId="23" borderId="24" xfId="0" applyNumberFormat="1" applyFont="1" applyFill="1" applyBorder="1"/>
    <xf numFmtId="172" fontId="0" fillId="23" borderId="24" xfId="0" applyNumberFormat="1" applyFill="1" applyBorder="1"/>
    <xf numFmtId="172" fontId="2" fillId="26" borderId="24" xfId="0" applyNumberFormat="1" applyFont="1" applyFill="1" applyBorder="1"/>
    <xf numFmtId="172" fontId="2" fillId="26" borderId="32" xfId="0" applyNumberFormat="1" applyFont="1" applyFill="1" applyBorder="1"/>
    <xf numFmtId="172" fontId="2" fillId="22" borderId="28" xfId="0" applyNumberFormat="1" applyFont="1" applyFill="1" applyBorder="1" applyAlignment="1">
      <alignment horizontal="center"/>
    </xf>
    <xf numFmtId="172" fontId="2" fillId="22" borderId="29" xfId="0" applyNumberFormat="1" applyFont="1" applyFill="1" applyBorder="1" applyAlignment="1">
      <alignment horizontal="center"/>
    </xf>
    <xf numFmtId="172" fontId="2" fillId="7" borderId="23" xfId="0" applyNumberFormat="1" applyFont="1" applyFill="1" applyBorder="1" applyAlignment="1">
      <alignment horizontal="center"/>
    </xf>
    <xf numFmtId="172" fontId="0" fillId="7" borderId="8" xfId="0" applyNumberFormat="1" applyFill="1" applyBorder="1"/>
    <xf numFmtId="172" fontId="0" fillId="7" borderId="13" xfId="0" applyNumberFormat="1" applyFill="1" applyBorder="1"/>
    <xf numFmtId="172" fontId="2" fillId="4" borderId="34" xfId="0" applyNumberFormat="1" applyFont="1" applyFill="1" applyBorder="1"/>
    <xf numFmtId="172" fontId="2" fillId="15" borderId="24" xfId="0" applyNumberFormat="1" applyFont="1" applyFill="1" applyBorder="1" applyAlignment="1">
      <alignment horizontal="left"/>
    </xf>
    <xf numFmtId="172" fontId="2" fillId="17" borderId="31" xfId="0" applyNumberFormat="1" applyFont="1" applyFill="1" applyBorder="1"/>
    <xf numFmtId="172" fontId="2" fillId="15" borderId="24" xfId="0" applyNumberFormat="1" applyFont="1" applyFill="1" applyBorder="1" applyAlignment="1">
      <alignment horizontal="center"/>
    </xf>
    <xf numFmtId="172" fontId="2" fillId="16" borderId="24" xfId="0" applyNumberFormat="1" applyFont="1" applyFill="1" applyBorder="1" applyAlignment="1">
      <alignment horizontal="left"/>
    </xf>
    <xf numFmtId="172" fontId="0" fillId="16" borderId="24" xfId="0" applyNumberFormat="1" applyFill="1" applyBorder="1"/>
    <xf numFmtId="172" fontId="2" fillId="16" borderId="24" xfId="0" applyNumberFormat="1" applyFont="1" applyFill="1" applyBorder="1" applyAlignment="1">
      <alignment horizontal="center"/>
    </xf>
    <xf numFmtId="172" fontId="2" fillId="17" borderId="24" xfId="0" applyNumberFormat="1" applyFont="1" applyFill="1" applyBorder="1" applyAlignment="1">
      <alignment horizontal="left"/>
    </xf>
    <xf numFmtId="172" fontId="0" fillId="17" borderId="24" xfId="0" applyNumberFormat="1" applyFill="1" applyBorder="1"/>
    <xf numFmtId="172" fontId="2" fillId="17" borderId="24" xfId="0" applyNumberFormat="1" applyFont="1" applyFill="1" applyBorder="1" applyAlignment="1">
      <alignment horizontal="center"/>
    </xf>
    <xf numFmtId="172" fontId="2" fillId="8" borderId="24" xfId="0" applyNumberFormat="1" applyFont="1" applyFill="1" applyBorder="1" applyAlignment="1">
      <alignment horizontal="center"/>
    </xf>
    <xf numFmtId="10" fontId="0" fillId="11" borderId="20" xfId="4" applyNumberFormat="1" applyFont="1" applyFill="1" applyBorder="1" applyAlignment="1">
      <alignment horizontal="center"/>
    </xf>
    <xf numFmtId="10" fontId="0" fillId="13" borderId="33" xfId="4" applyNumberFormat="1" applyFont="1" applyFill="1" applyBorder="1" applyAlignment="1">
      <alignment horizontal="center"/>
    </xf>
    <xf numFmtId="10" fontId="0" fillId="11" borderId="19" xfId="4" applyNumberFormat="1" applyFont="1" applyFill="1" applyBorder="1"/>
    <xf numFmtId="172" fontId="0" fillId="0" borderId="3" xfId="0" applyNumberFormat="1" applyBorder="1"/>
    <xf numFmtId="173" fontId="0" fillId="5" borderId="3" xfId="0" applyNumberFormat="1" applyFill="1" applyBorder="1"/>
    <xf numFmtId="173" fontId="0" fillId="5" borderId="2" xfId="0" applyNumberFormat="1" applyFill="1" applyBorder="1"/>
    <xf numFmtId="173" fontId="2" fillId="8" borderId="3" xfId="0" applyNumberFormat="1" applyFont="1" applyFill="1" applyBorder="1"/>
    <xf numFmtId="173" fontId="2" fillId="8" borderId="2" xfId="0" applyNumberFormat="1" applyFont="1" applyFill="1" applyBorder="1"/>
    <xf numFmtId="173" fontId="0" fillId="6" borderId="3" xfId="0" applyNumberFormat="1" applyFill="1" applyBorder="1"/>
    <xf numFmtId="173" fontId="0" fillId="6" borderId="2" xfId="0" applyNumberFormat="1" applyFill="1" applyBorder="1"/>
    <xf numFmtId="173" fontId="0" fillId="9" borderId="2" xfId="0" applyNumberFormat="1" applyFill="1" applyBorder="1"/>
    <xf numFmtId="173" fontId="2" fillId="7" borderId="3" xfId="0" applyNumberFormat="1" applyFont="1" applyFill="1" applyBorder="1"/>
    <xf numFmtId="173" fontId="2" fillId="7" borderId="2" xfId="0" applyNumberFormat="1" applyFont="1" applyFill="1" applyBorder="1"/>
    <xf numFmtId="173" fontId="0" fillId="7" borderId="3" xfId="0" applyNumberFormat="1" applyFill="1" applyBorder="1"/>
    <xf numFmtId="173" fontId="0" fillId="7" borderId="2" xfId="0" applyNumberFormat="1" applyFill="1" applyBorder="1"/>
    <xf numFmtId="2" fontId="2" fillId="10" borderId="3" xfId="4" applyNumberFormat="1" applyFont="1" applyFill="1" applyBorder="1"/>
    <xf numFmtId="2" fontId="2" fillId="10" borderId="2" xfId="4" applyNumberFormat="1" applyFont="1" applyFill="1" applyBorder="1"/>
    <xf numFmtId="2" fontId="2" fillId="10" borderId="3" xfId="0" applyNumberFormat="1" applyFont="1" applyFill="1" applyBorder="1"/>
    <xf numFmtId="2" fontId="2" fillId="10" borderId="2" xfId="0" applyNumberFormat="1" applyFont="1" applyFill="1" applyBorder="1"/>
    <xf numFmtId="1" fontId="2" fillId="4" borderId="20" xfId="0" applyNumberFormat="1" applyFont="1" applyFill="1" applyBorder="1" applyAlignment="1">
      <alignment horizontal="center"/>
    </xf>
    <xf numFmtId="1" fontId="2" fillId="4" borderId="18" xfId="0" applyNumberFormat="1" applyFont="1" applyFill="1" applyBorder="1" applyAlignment="1">
      <alignment horizontal="center"/>
    </xf>
    <xf numFmtId="1" fontId="2" fillId="4" borderId="18" xfId="0" applyNumberFormat="1" applyFont="1" applyFill="1" applyBorder="1"/>
    <xf numFmtId="1" fontId="2" fillId="4" borderId="19" xfId="0" applyNumberFormat="1" applyFont="1" applyFill="1" applyBorder="1"/>
    <xf numFmtId="173" fontId="0" fillId="0" borderId="3" xfId="0" applyNumberFormat="1" applyBorder="1"/>
    <xf numFmtId="173" fontId="0" fillId="0" borderId="2" xfId="0" applyNumberFormat="1" applyBorder="1"/>
    <xf numFmtId="173" fontId="2" fillId="0" borderId="3" xfId="0" applyNumberFormat="1" applyFont="1" applyBorder="1"/>
    <xf numFmtId="173" fontId="2" fillId="0" borderId="2" xfId="0" applyNumberFormat="1" applyFont="1" applyBorder="1"/>
    <xf numFmtId="1" fontId="2" fillId="4" borderId="19" xfId="0" applyNumberFormat="1" applyFont="1" applyFill="1" applyBorder="1" applyAlignment="1">
      <alignment horizontal="center"/>
    </xf>
    <xf numFmtId="10" fontId="2" fillId="4" borderId="13" xfId="4" applyNumberFormat="1" applyFont="1" applyFill="1" applyBorder="1"/>
    <xf numFmtId="10" fontId="2" fillId="4" borderId="35" xfId="4" applyNumberFormat="1" applyFont="1" applyFill="1" applyBorder="1"/>
    <xf numFmtId="10" fontId="2" fillId="17" borderId="18" xfId="4" applyNumberFormat="1" applyFont="1" applyFill="1" applyBorder="1"/>
    <xf numFmtId="10" fontId="2" fillId="17" borderId="19" xfId="4" applyNumberFormat="1" applyFont="1" applyFill="1" applyBorder="1"/>
    <xf numFmtId="173" fontId="0" fillId="19" borderId="32" xfId="0" applyNumberFormat="1" applyFill="1" applyBorder="1"/>
    <xf numFmtId="173" fontId="0" fillId="19" borderId="2" xfId="0" applyNumberFormat="1" applyFill="1" applyBorder="1"/>
    <xf numFmtId="173" fontId="0" fillId="19" borderId="33" xfId="0" applyNumberFormat="1" applyFill="1" applyBorder="1"/>
    <xf numFmtId="173" fontId="0" fillId="19" borderId="32" xfId="0" applyNumberFormat="1" applyFill="1" applyBorder="1" applyAlignment="1">
      <alignment horizontal="center"/>
    </xf>
    <xf numFmtId="173" fontId="0" fillId="19" borderId="2" xfId="0" applyNumberFormat="1" applyFill="1" applyBorder="1" applyAlignment="1">
      <alignment horizontal="center"/>
    </xf>
    <xf numFmtId="173" fontId="0" fillId="19" borderId="33" xfId="0" applyNumberFormat="1" applyFill="1" applyBorder="1" applyAlignment="1">
      <alignment horizontal="center"/>
    </xf>
    <xf numFmtId="173" fontId="2" fillId="19" borderId="32" xfId="0" applyNumberFormat="1" applyFont="1" applyFill="1" applyBorder="1"/>
    <xf numFmtId="173" fontId="2" fillId="19" borderId="2" xfId="0" applyNumberFormat="1" applyFont="1" applyFill="1" applyBorder="1"/>
    <xf numFmtId="173" fontId="2" fillId="19" borderId="33" xfId="0" applyNumberFormat="1" applyFont="1" applyFill="1" applyBorder="1"/>
    <xf numFmtId="173" fontId="0" fillId="18" borderId="32" xfId="0" applyNumberFormat="1" applyFill="1" applyBorder="1"/>
    <xf numFmtId="173" fontId="0" fillId="18" borderId="2" xfId="0" applyNumberFormat="1" applyFill="1" applyBorder="1"/>
    <xf numFmtId="173" fontId="0" fillId="18" borderId="33" xfId="0" applyNumberFormat="1" applyFill="1" applyBorder="1"/>
    <xf numFmtId="173" fontId="0" fillId="20" borderId="32" xfId="0" applyNumberFormat="1" applyFill="1" applyBorder="1"/>
    <xf numFmtId="173" fontId="0" fillId="20" borderId="2" xfId="0" applyNumberFormat="1" applyFill="1" applyBorder="1"/>
    <xf numFmtId="173" fontId="0" fillId="20" borderId="33" xfId="0" applyNumberFormat="1" applyFill="1" applyBorder="1"/>
    <xf numFmtId="173" fontId="0" fillId="20" borderId="32" xfId="0" applyNumberFormat="1" applyFill="1" applyBorder="1" applyAlignment="1">
      <alignment horizontal="center"/>
    </xf>
    <xf numFmtId="173" fontId="0" fillId="20" borderId="2" xfId="0" applyNumberFormat="1" applyFill="1" applyBorder="1" applyAlignment="1">
      <alignment horizontal="center"/>
    </xf>
    <xf numFmtId="173" fontId="2" fillId="20" borderId="32" xfId="0" applyNumberFormat="1" applyFont="1" applyFill="1" applyBorder="1"/>
    <xf numFmtId="173" fontId="2" fillId="20" borderId="2" xfId="0" applyNumberFormat="1" applyFont="1" applyFill="1" applyBorder="1"/>
    <xf numFmtId="173" fontId="2" fillId="20" borderId="33" xfId="0" applyNumberFormat="1" applyFont="1" applyFill="1" applyBorder="1"/>
    <xf numFmtId="173" fontId="0" fillId="20" borderId="33" xfId="0" applyNumberFormat="1" applyFill="1" applyBorder="1" applyAlignment="1">
      <alignment horizontal="center"/>
    </xf>
    <xf numFmtId="173" fontId="0" fillId="20" borderId="32" xfId="6" applyNumberFormat="1" applyFont="1" applyFill="1" applyBorder="1"/>
    <xf numFmtId="173" fontId="0" fillId="20" borderId="2" xfId="6" applyNumberFormat="1" applyFont="1" applyFill="1" applyBorder="1"/>
    <xf numFmtId="173" fontId="0" fillId="20" borderId="33" xfId="6" applyNumberFormat="1" applyFont="1" applyFill="1" applyBorder="1"/>
    <xf numFmtId="173" fontId="0" fillId="9" borderId="32" xfId="0" applyNumberFormat="1" applyFill="1" applyBorder="1"/>
    <xf numFmtId="173" fontId="0" fillId="9" borderId="33" xfId="0" applyNumberFormat="1" applyFill="1" applyBorder="1"/>
    <xf numFmtId="173" fontId="2" fillId="9" borderId="2" xfId="0" applyNumberFormat="1" applyFont="1" applyFill="1" applyBorder="1"/>
    <xf numFmtId="173" fontId="2" fillId="9" borderId="33" xfId="0" applyNumberFormat="1" applyFont="1" applyFill="1" applyBorder="1"/>
    <xf numFmtId="173" fontId="2" fillId="8" borderId="32" xfId="0" applyNumberFormat="1" applyFont="1" applyFill="1" applyBorder="1"/>
    <xf numFmtId="173" fontId="2" fillId="8" borderId="33" xfId="0" applyNumberFormat="1" applyFont="1" applyFill="1" applyBorder="1"/>
    <xf numFmtId="173" fontId="2" fillId="8" borderId="31" xfId="0" applyNumberFormat="1" applyFont="1" applyFill="1" applyBorder="1"/>
    <xf numFmtId="173" fontId="2" fillId="8" borderId="18" xfId="0" applyNumberFormat="1" applyFont="1" applyFill="1" applyBorder="1"/>
    <xf numFmtId="173" fontId="2" fillId="8" borderId="19" xfId="0" applyNumberFormat="1" applyFont="1" applyFill="1" applyBorder="1"/>
    <xf numFmtId="173" fontId="0" fillId="0" borderId="32" xfId="0" applyNumberFormat="1" applyBorder="1"/>
    <xf numFmtId="173" fontId="0" fillId="0" borderId="33" xfId="0" applyNumberFormat="1" applyBorder="1"/>
    <xf numFmtId="173" fontId="0" fillId="0" borderId="32" xfId="0" applyNumberFormat="1" applyBorder="1" applyAlignment="1">
      <alignment horizontal="center"/>
    </xf>
    <xf numFmtId="173" fontId="0" fillId="0" borderId="2" xfId="0" applyNumberFormat="1" applyBorder="1" applyAlignment="1">
      <alignment horizontal="center"/>
    </xf>
    <xf numFmtId="173" fontId="2" fillId="15" borderId="32" xfId="0" applyNumberFormat="1" applyFont="1" applyFill="1" applyBorder="1"/>
    <xf numFmtId="173" fontId="2" fillId="15" borderId="2" xfId="0" applyNumberFormat="1" applyFont="1" applyFill="1" applyBorder="1"/>
    <xf numFmtId="173" fontId="2" fillId="15" borderId="33" xfId="0" applyNumberFormat="1" applyFont="1" applyFill="1" applyBorder="1"/>
    <xf numFmtId="173" fontId="2" fillId="16" borderId="32" xfId="0" applyNumberFormat="1" applyFont="1" applyFill="1" applyBorder="1"/>
    <xf numFmtId="173" fontId="2" fillId="16" borderId="2" xfId="0" applyNumberFormat="1" applyFont="1" applyFill="1" applyBorder="1"/>
    <xf numFmtId="173" fontId="2" fillId="16" borderId="33" xfId="0" applyNumberFormat="1" applyFont="1" applyFill="1" applyBorder="1"/>
    <xf numFmtId="173" fontId="2" fillId="17" borderId="32" xfId="0" applyNumberFormat="1" applyFont="1" applyFill="1" applyBorder="1"/>
    <xf numFmtId="173" fontId="2" fillId="17" borderId="2" xfId="0" applyNumberFormat="1" applyFont="1" applyFill="1" applyBorder="1"/>
    <xf numFmtId="173" fontId="2" fillId="17" borderId="33" xfId="0" applyNumberFormat="1" applyFont="1" applyFill="1" applyBorder="1"/>
    <xf numFmtId="173" fontId="0" fillId="0" borderId="33" xfId="0" applyNumberFormat="1" applyBorder="1" applyAlignment="1">
      <alignment horizontal="center"/>
    </xf>
    <xf numFmtId="173" fontId="0" fillId="0" borderId="33" xfId="6" applyNumberFormat="1" applyFont="1" applyFill="1" applyBorder="1"/>
    <xf numFmtId="173" fontId="2" fillId="9" borderId="32" xfId="0" applyNumberFormat="1" applyFont="1" applyFill="1" applyBorder="1"/>
    <xf numFmtId="173" fontId="0" fillId="15" borderId="3" xfId="0" applyNumberFormat="1" applyFill="1" applyBorder="1"/>
    <xf numFmtId="173" fontId="0" fillId="15" borderId="2" xfId="0" applyNumberFormat="1" applyFill="1" applyBorder="1"/>
    <xf numFmtId="173" fontId="0" fillId="15" borderId="3" xfId="0" applyNumberFormat="1" applyFill="1" applyBorder="1" applyAlignment="1">
      <alignment horizontal="center"/>
    </xf>
    <xf numFmtId="173" fontId="0" fillId="15" borderId="2" xfId="0" applyNumberFormat="1" applyFill="1" applyBorder="1" applyAlignment="1">
      <alignment horizontal="center"/>
    </xf>
    <xf numFmtId="173" fontId="2" fillId="15" borderId="3" xfId="0" applyNumberFormat="1" applyFont="1" applyFill="1" applyBorder="1"/>
    <xf numFmtId="173" fontId="0" fillId="16" borderId="3" xfId="0" applyNumberFormat="1" applyFill="1" applyBorder="1"/>
    <xf numFmtId="173" fontId="0" fillId="16" borderId="2" xfId="0" applyNumberFormat="1" applyFill="1" applyBorder="1"/>
    <xf numFmtId="173" fontId="2" fillId="16" borderId="3" xfId="0" applyNumberFormat="1" applyFont="1" applyFill="1" applyBorder="1"/>
    <xf numFmtId="173" fontId="0" fillId="17" borderId="3" xfId="0" applyNumberFormat="1" applyFill="1" applyBorder="1"/>
    <xf numFmtId="173" fontId="0" fillId="17" borderId="2" xfId="0" applyNumberFormat="1" applyFill="1" applyBorder="1"/>
    <xf numFmtId="173" fontId="0" fillId="17" borderId="5" xfId="0" applyNumberFormat="1" applyFill="1" applyBorder="1"/>
    <xf numFmtId="173" fontId="0" fillId="17" borderId="12" xfId="0" applyNumberFormat="1" applyFill="1" applyBorder="1"/>
    <xf numFmtId="173" fontId="0" fillId="9" borderId="30" xfId="0" applyNumberFormat="1" applyFill="1" applyBorder="1"/>
    <xf numFmtId="173" fontId="0" fillId="9" borderId="28" xfId="0" applyNumberFormat="1" applyFill="1" applyBorder="1"/>
    <xf numFmtId="173" fontId="0" fillId="9" borderId="29" xfId="0" applyNumberFormat="1" applyFill="1" applyBorder="1"/>
    <xf numFmtId="173" fontId="0" fillId="7" borderId="32" xfId="0" applyNumberFormat="1" applyFill="1" applyBorder="1"/>
    <xf numFmtId="173" fontId="0" fillId="7" borderId="33" xfId="0" applyNumberFormat="1" applyFill="1" applyBorder="1"/>
    <xf numFmtId="1" fontId="2" fillId="22" borderId="18" xfId="0" applyNumberFormat="1" applyFont="1" applyFill="1" applyBorder="1" applyAlignment="1">
      <alignment horizontal="center"/>
    </xf>
    <xf numFmtId="1" fontId="2" fillId="22" borderId="19" xfId="0" applyNumberFormat="1" applyFont="1" applyFill="1" applyBorder="1" applyAlignment="1">
      <alignment horizontal="center"/>
    </xf>
    <xf numFmtId="173" fontId="0" fillId="23" borderId="32" xfId="0" applyNumberFormat="1" applyFill="1" applyBorder="1"/>
    <xf numFmtId="173" fontId="0" fillId="23" borderId="2" xfId="0" applyNumberFormat="1" applyFill="1" applyBorder="1"/>
    <xf numFmtId="173" fontId="0" fillId="23" borderId="33" xfId="0" applyNumberFormat="1" applyFill="1" applyBorder="1"/>
    <xf numFmtId="173" fontId="0" fillId="23" borderId="32" xfId="0" applyNumberFormat="1" applyFill="1" applyBorder="1" applyAlignment="1">
      <alignment horizontal="center"/>
    </xf>
    <xf numFmtId="173" fontId="0" fillId="23" borderId="33" xfId="0" applyNumberFormat="1" applyFill="1" applyBorder="1" applyAlignment="1">
      <alignment horizontal="center"/>
    </xf>
    <xf numFmtId="173" fontId="2" fillId="23" borderId="32" xfId="0" applyNumberFormat="1" applyFont="1" applyFill="1" applyBorder="1"/>
    <xf numFmtId="173" fontId="2" fillId="23" borderId="2" xfId="0" applyNumberFormat="1" applyFont="1" applyFill="1" applyBorder="1"/>
    <xf numFmtId="173" fontId="2" fillId="23" borderId="33" xfId="0" applyNumberFormat="1" applyFont="1" applyFill="1" applyBorder="1"/>
    <xf numFmtId="173" fontId="0" fillId="4" borderId="32" xfId="0" applyNumberFormat="1" applyFill="1" applyBorder="1"/>
    <xf numFmtId="173" fontId="0" fillId="4" borderId="2" xfId="0" applyNumberFormat="1" applyFill="1" applyBorder="1"/>
    <xf numFmtId="173" fontId="0" fillId="4" borderId="33" xfId="0" applyNumberFormat="1" applyFill="1" applyBorder="1"/>
    <xf numFmtId="173" fontId="0" fillId="4" borderId="2" xfId="6" applyNumberFormat="1" applyFont="1" applyFill="1" applyBorder="1"/>
    <xf numFmtId="173" fontId="0" fillId="4" borderId="33" xfId="6" applyNumberFormat="1" applyFont="1" applyFill="1" applyBorder="1"/>
    <xf numFmtId="173" fontId="0" fillId="4" borderId="33" xfId="0" applyNumberFormat="1" applyFill="1" applyBorder="1" applyAlignment="1">
      <alignment horizontal="center"/>
    </xf>
    <xf numFmtId="173" fontId="2" fillId="4" borderId="2" xfId="0" applyNumberFormat="1" applyFont="1" applyFill="1" applyBorder="1"/>
    <xf numFmtId="173" fontId="0" fillId="16" borderId="32" xfId="0" applyNumberFormat="1" applyFill="1" applyBorder="1"/>
    <xf numFmtId="173" fontId="0" fillId="16" borderId="33" xfId="0" applyNumberFormat="1" applyFill="1" applyBorder="1"/>
    <xf numFmtId="173" fontId="2" fillId="24" borderId="32" xfId="0" applyNumberFormat="1" applyFont="1" applyFill="1" applyBorder="1"/>
    <xf numFmtId="173" fontId="2" fillId="24" borderId="2" xfId="0" applyNumberFormat="1" applyFont="1" applyFill="1" applyBorder="1"/>
    <xf numFmtId="173" fontId="2" fillId="24" borderId="33" xfId="0" applyNumberFormat="1" applyFont="1" applyFill="1" applyBorder="1"/>
    <xf numFmtId="173" fontId="2" fillId="25" borderId="32" xfId="0" applyNumberFormat="1" applyFont="1" applyFill="1" applyBorder="1"/>
    <xf numFmtId="173" fontId="2" fillId="25" borderId="2" xfId="0" applyNumberFormat="1" applyFont="1" applyFill="1" applyBorder="1"/>
    <xf numFmtId="173" fontId="2" fillId="25" borderId="33" xfId="0" applyNumberFormat="1" applyFont="1" applyFill="1" applyBorder="1"/>
    <xf numFmtId="10" fontId="2" fillId="17" borderId="2" xfId="4" applyNumberFormat="1" applyFont="1" applyFill="1" applyBorder="1"/>
    <xf numFmtId="173" fontId="0" fillId="0" borderId="32" xfId="6" applyNumberFormat="1" applyFont="1" applyFill="1" applyBorder="1"/>
    <xf numFmtId="173" fontId="0" fillId="0" borderId="2" xfId="6" applyNumberFormat="1" applyFont="1" applyFill="1" applyBorder="1"/>
    <xf numFmtId="173" fontId="2" fillId="0" borderId="32" xfId="0" applyNumberFormat="1" applyFont="1" applyBorder="1" applyAlignment="1">
      <alignment horizontal="center"/>
    </xf>
    <xf numFmtId="173" fontId="2" fillId="0" borderId="2" xfId="0" applyNumberFormat="1" applyFont="1" applyBorder="1" applyAlignment="1">
      <alignment horizontal="center"/>
    </xf>
    <xf numFmtId="173" fontId="0" fillId="0" borderId="31" xfId="0" applyNumberFormat="1" applyBorder="1"/>
    <xf numFmtId="173" fontId="0" fillId="0" borderId="18" xfId="0" applyNumberFormat="1" applyBorder="1"/>
    <xf numFmtId="173" fontId="0" fillId="0" borderId="19" xfId="0" applyNumberFormat="1" applyBorder="1"/>
    <xf numFmtId="175" fontId="0" fillId="0" borderId="0" xfId="0" applyNumberFormat="1"/>
    <xf numFmtId="176" fontId="0" fillId="0" borderId="0" xfId="0" applyNumberFormat="1"/>
    <xf numFmtId="173" fontId="2" fillId="0" borderId="0" xfId="0" applyNumberFormat="1" applyFont="1"/>
    <xf numFmtId="3" fontId="0" fillId="0" borderId="0" xfId="0" applyNumberFormat="1"/>
    <xf numFmtId="178" fontId="0" fillId="0" borderId="0" xfId="7" applyNumberFormat="1" applyFont="1"/>
    <xf numFmtId="0" fontId="0" fillId="0" borderId="0" xfId="0" quotePrefix="1"/>
    <xf numFmtId="177" fontId="2" fillId="23" borderId="2" xfId="7" quotePrefix="1" applyNumberFormat="1" applyFont="1" applyFill="1" applyBorder="1" applyAlignment="1">
      <alignment horizontal="right"/>
    </xf>
    <xf numFmtId="177" fontId="2" fillId="23" borderId="33" xfId="7" quotePrefix="1" applyNumberFormat="1" applyFont="1" applyFill="1" applyBorder="1" applyAlignment="1">
      <alignment horizontal="right"/>
    </xf>
    <xf numFmtId="1" fontId="2" fillId="4" borderId="2" xfId="0" applyNumberFormat="1" applyFont="1" applyFill="1" applyBorder="1" applyAlignment="1">
      <alignment horizontal="center"/>
    </xf>
    <xf numFmtId="1" fontId="2" fillId="22" borderId="2" xfId="0" applyNumberFormat="1" applyFont="1" applyFill="1" applyBorder="1" applyAlignment="1">
      <alignment horizontal="center"/>
    </xf>
    <xf numFmtId="10" fontId="2" fillId="4" borderId="2" xfId="4" applyNumberFormat="1" applyFont="1" applyFill="1" applyBorder="1"/>
    <xf numFmtId="0" fontId="2" fillId="19" borderId="2" xfId="0" applyFont="1" applyFill="1" applyBorder="1" applyAlignment="1">
      <alignment horizontal="center"/>
    </xf>
    <xf numFmtId="173" fontId="0" fillId="8" borderId="8" xfId="0" applyNumberFormat="1" applyFill="1" applyBorder="1"/>
    <xf numFmtId="173" fontId="0" fillId="8" borderId="13" xfId="0" applyNumberFormat="1" applyFill="1" applyBorder="1"/>
    <xf numFmtId="173" fontId="0" fillId="29" borderId="3" xfId="0" applyNumberFormat="1" applyFill="1" applyBorder="1"/>
    <xf numFmtId="173" fontId="0" fillId="29" borderId="2" xfId="0" applyNumberFormat="1" applyFill="1" applyBorder="1"/>
    <xf numFmtId="173" fontId="0" fillId="19" borderId="3" xfId="0" applyNumberFormat="1" applyFill="1" applyBorder="1"/>
    <xf numFmtId="173" fontId="2" fillId="23" borderId="3" xfId="0" applyNumberFormat="1" applyFont="1" applyFill="1" applyBorder="1"/>
    <xf numFmtId="173" fontId="0" fillId="8" borderId="3" xfId="0" applyNumberFormat="1" applyFill="1" applyBorder="1"/>
    <xf numFmtId="173" fontId="0" fillId="8" borderId="2" xfId="0" applyNumberFormat="1" applyFill="1" applyBorder="1"/>
    <xf numFmtId="173" fontId="2" fillId="20" borderId="3" xfId="0" applyNumberFormat="1" applyFont="1" applyFill="1" applyBorder="1" applyAlignment="1">
      <alignment horizontal="center"/>
    </xf>
    <xf numFmtId="173" fontId="0" fillId="0" borderId="8" xfId="0" applyNumberFormat="1" applyBorder="1"/>
    <xf numFmtId="173" fontId="0" fillId="0" borderId="13" xfId="0" applyNumberFormat="1" applyBorder="1"/>
    <xf numFmtId="179" fontId="8" fillId="26" borderId="2" xfId="4" applyNumberFormat="1" applyFont="1" applyFill="1" applyBorder="1"/>
    <xf numFmtId="179" fontId="7" fillId="9" borderId="33" xfId="4" applyNumberFormat="1" applyFont="1" applyFill="1" applyBorder="1"/>
    <xf numFmtId="179" fontId="8" fillId="9" borderId="33" xfId="4" applyNumberFormat="1" applyFont="1" applyFill="1" applyBorder="1"/>
    <xf numFmtId="179" fontId="0" fillId="26" borderId="33" xfId="4" applyNumberFormat="1" applyFont="1" applyFill="1" applyBorder="1"/>
    <xf numFmtId="179" fontId="0" fillId="6" borderId="33" xfId="4" applyNumberFormat="1" applyFont="1" applyFill="1" applyBorder="1"/>
    <xf numFmtId="179" fontId="7" fillId="0" borderId="33" xfId="4" applyNumberFormat="1" applyFont="1" applyFill="1" applyBorder="1"/>
    <xf numFmtId="179" fontId="8" fillId="0" borderId="33" xfId="4" applyNumberFormat="1" applyFont="1" applyFill="1" applyBorder="1"/>
    <xf numFmtId="179" fontId="0" fillId="0" borderId="33" xfId="4" applyNumberFormat="1" applyFont="1" applyFill="1" applyBorder="1"/>
    <xf numFmtId="179" fontId="8" fillId="11" borderId="18" xfId="4" applyNumberFormat="1" applyFont="1" applyFill="1" applyBorder="1"/>
    <xf numFmtId="180" fontId="2" fillId="12" borderId="13" xfId="4" applyNumberFormat="1" applyFont="1" applyFill="1" applyBorder="1" applyAlignment="1">
      <alignment horizontal="center"/>
    </xf>
    <xf numFmtId="180" fontId="2" fillId="12" borderId="13" xfId="4" applyNumberFormat="1" applyFont="1" applyFill="1" applyBorder="1"/>
    <xf numFmtId="180" fontId="2" fillId="12" borderId="35" xfId="4" applyNumberFormat="1" applyFont="1" applyFill="1" applyBorder="1"/>
    <xf numFmtId="180" fontId="2" fillId="11" borderId="2" xfId="4" applyNumberFormat="1" applyFont="1" applyFill="1" applyBorder="1" applyAlignment="1">
      <alignment horizontal="center"/>
    </xf>
    <xf numFmtId="180" fontId="2" fillId="11" borderId="2" xfId="4" applyNumberFormat="1" applyFont="1" applyFill="1" applyBorder="1"/>
    <xf numFmtId="180" fontId="2" fillId="11" borderId="33" xfId="4" applyNumberFormat="1" applyFont="1" applyFill="1" applyBorder="1"/>
    <xf numFmtId="180" fontId="2" fillId="13" borderId="2" xfId="4" applyNumberFormat="1" applyFont="1" applyFill="1" applyBorder="1"/>
    <xf numFmtId="180" fontId="2" fillId="13" borderId="33" xfId="4" applyNumberFormat="1" applyFont="1" applyFill="1" applyBorder="1"/>
    <xf numFmtId="180" fontId="2" fillId="14" borderId="18" xfId="4" applyNumberFormat="1" applyFont="1" applyFill="1" applyBorder="1"/>
    <xf numFmtId="180" fontId="2" fillId="14" borderId="19" xfId="4" applyNumberFormat="1" applyFont="1" applyFill="1" applyBorder="1"/>
    <xf numFmtId="173" fontId="0" fillId="0" borderId="32" xfId="0" applyNumberFormat="1" applyBorder="1" applyAlignment="1">
      <alignment horizontal="right"/>
    </xf>
    <xf numFmtId="173" fontId="0" fillId="0" borderId="2" xfId="0" applyNumberFormat="1" applyBorder="1" applyAlignment="1">
      <alignment horizontal="right"/>
    </xf>
    <xf numFmtId="180" fontId="2" fillId="10" borderId="2" xfId="4" applyNumberFormat="1" applyFont="1" applyFill="1" applyBorder="1"/>
    <xf numFmtId="180" fontId="2" fillId="10" borderId="33" xfId="4" applyNumberFormat="1" applyFont="1" applyFill="1" applyBorder="1"/>
    <xf numFmtId="180" fontId="2" fillId="10" borderId="2" xfId="0" applyNumberFormat="1" applyFont="1" applyFill="1" applyBorder="1"/>
    <xf numFmtId="180" fontId="2" fillId="10" borderId="33" xfId="0" applyNumberFormat="1" applyFont="1" applyFill="1" applyBorder="1"/>
    <xf numFmtId="180" fontId="2" fillId="8" borderId="2" xfId="0" applyNumberFormat="1" applyFont="1" applyFill="1" applyBorder="1"/>
    <xf numFmtId="180" fontId="2" fillId="8" borderId="33" xfId="0" applyNumberFormat="1" applyFont="1" applyFill="1" applyBorder="1"/>
    <xf numFmtId="180" fontId="2" fillId="8" borderId="2" xfId="4" applyNumberFormat="1" applyFont="1" applyFill="1" applyBorder="1"/>
    <xf numFmtId="180" fontId="2" fillId="8" borderId="33" xfId="4" applyNumberFormat="1" applyFont="1" applyFill="1" applyBorder="1"/>
    <xf numFmtId="180" fontId="2" fillId="9" borderId="2" xfId="4" applyNumberFormat="1" applyFont="1" applyFill="1" applyBorder="1"/>
    <xf numFmtId="180" fontId="2" fillId="9" borderId="33" xfId="4" applyNumberFormat="1" applyFont="1" applyFill="1" applyBorder="1"/>
    <xf numFmtId="180" fontId="2" fillId="17" borderId="2" xfId="4" applyNumberFormat="1" applyFont="1" applyFill="1" applyBorder="1"/>
    <xf numFmtId="180" fontId="2" fillId="17" borderId="33" xfId="4" applyNumberFormat="1" applyFont="1" applyFill="1" applyBorder="1"/>
    <xf numFmtId="180" fontId="2" fillId="21" borderId="2" xfId="4" applyNumberFormat="1" applyFont="1" applyFill="1" applyBorder="1"/>
    <xf numFmtId="180" fontId="2" fillId="21" borderId="33" xfId="4" applyNumberFormat="1" applyFont="1" applyFill="1" applyBorder="1"/>
    <xf numFmtId="180" fontId="2" fillId="26" borderId="2" xfId="0" applyNumberFormat="1" applyFont="1" applyFill="1" applyBorder="1"/>
    <xf numFmtId="180" fontId="2" fillId="26" borderId="33" xfId="0" applyNumberFormat="1" applyFont="1" applyFill="1" applyBorder="1"/>
    <xf numFmtId="180" fontId="2" fillId="26" borderId="2" xfId="4" applyNumberFormat="1" applyFont="1" applyFill="1" applyBorder="1"/>
    <xf numFmtId="180" fontId="2" fillId="26" borderId="33" xfId="4" applyNumberFormat="1" applyFont="1" applyFill="1" applyBorder="1"/>
    <xf numFmtId="180" fontId="2" fillId="19" borderId="2" xfId="0" applyNumberFormat="1" applyFont="1" applyFill="1" applyBorder="1"/>
    <xf numFmtId="180" fontId="2" fillId="19" borderId="33" xfId="0" applyNumberFormat="1" applyFont="1" applyFill="1" applyBorder="1"/>
    <xf numFmtId="180" fontId="2" fillId="19" borderId="18" xfId="4" applyNumberFormat="1" applyFont="1" applyFill="1" applyBorder="1"/>
    <xf numFmtId="180" fontId="2" fillId="19" borderId="19" xfId="4" applyNumberFormat="1" applyFont="1" applyFill="1" applyBorder="1"/>
    <xf numFmtId="180" fontId="2" fillId="12" borderId="2" xfId="4" applyNumberFormat="1" applyFont="1" applyFill="1" applyBorder="1" applyAlignment="1">
      <alignment horizontal="center"/>
    </xf>
    <xf numFmtId="180" fontId="2" fillId="12" borderId="2" xfId="4" applyNumberFormat="1" applyFont="1" applyFill="1" applyBorder="1"/>
    <xf numFmtId="180" fontId="2" fillId="14" borderId="2" xfId="4" applyNumberFormat="1" applyFont="1" applyFill="1" applyBorder="1"/>
    <xf numFmtId="180" fontId="2" fillId="21" borderId="2" xfId="0" applyNumberFormat="1" applyFont="1" applyFill="1" applyBorder="1"/>
    <xf numFmtId="180" fontId="2" fillId="27" borderId="2" xfId="4" applyNumberFormat="1" applyFont="1" applyFill="1" applyBorder="1"/>
    <xf numFmtId="180" fontId="2" fillId="27" borderId="2" xfId="0" applyNumberFormat="1" applyFont="1" applyFill="1" applyBorder="1"/>
    <xf numFmtId="180" fontId="0" fillId="0" borderId="2" xfId="0" applyNumberFormat="1" applyBorder="1"/>
    <xf numFmtId="180" fontId="8" fillId="28" borderId="2" xfId="4" applyNumberFormat="1" applyFont="1" applyFill="1" applyBorder="1" applyAlignment="1">
      <alignment horizontal="center"/>
    </xf>
    <xf numFmtId="180" fontId="8" fillId="20" borderId="2" xfId="4" applyNumberFormat="1" applyFont="1" applyFill="1" applyBorder="1" applyAlignment="1">
      <alignment horizontal="center"/>
    </xf>
    <xf numFmtId="180" fontId="8" fillId="28" borderId="2" xfId="4" applyNumberFormat="1" applyFont="1" applyFill="1" applyBorder="1"/>
    <xf numFmtId="180" fontId="8" fillId="20" borderId="2" xfId="4" applyNumberFormat="1" applyFont="1" applyFill="1" applyBorder="1"/>
    <xf numFmtId="180" fontId="2" fillId="20" borderId="2" xfId="4" applyNumberFormat="1" applyFont="1" applyFill="1" applyBorder="1"/>
    <xf numFmtId="174" fontId="0" fillId="10" borderId="13" xfId="0" applyNumberFormat="1" applyFill="1" applyBorder="1"/>
    <xf numFmtId="174" fontId="0" fillId="8" borderId="35" xfId="0" applyNumberFormat="1" applyFill="1" applyBorder="1"/>
    <xf numFmtId="174" fontId="0" fillId="10" borderId="2" xfId="0" applyNumberFormat="1" applyFill="1" applyBorder="1"/>
    <xf numFmtId="174" fontId="0" fillId="8" borderId="33" xfId="0" applyNumberFormat="1" applyFill="1" applyBorder="1"/>
    <xf numFmtId="174" fontId="0" fillId="10" borderId="18" xfId="0" applyNumberFormat="1" applyFill="1" applyBorder="1"/>
    <xf numFmtId="174" fontId="0" fillId="8" borderId="19" xfId="0" applyNumberFormat="1" applyFill="1" applyBorder="1"/>
    <xf numFmtId="173" fontId="0" fillId="10" borderId="13" xfId="0" applyNumberFormat="1" applyFill="1" applyBorder="1"/>
    <xf numFmtId="173" fontId="0" fillId="8" borderId="35" xfId="0" applyNumberFormat="1" applyFill="1" applyBorder="1"/>
    <xf numFmtId="173" fontId="0" fillId="10" borderId="2" xfId="0" applyNumberFormat="1" applyFill="1" applyBorder="1"/>
    <xf numFmtId="173" fontId="0" fillId="8" borderId="33" xfId="0" applyNumberFormat="1" applyFill="1" applyBorder="1"/>
    <xf numFmtId="173" fontId="0" fillId="10" borderId="18" xfId="0" applyNumberFormat="1" applyFill="1" applyBorder="1"/>
    <xf numFmtId="173" fontId="0" fillId="8" borderId="19" xfId="0" applyNumberFormat="1" applyFill="1" applyBorder="1"/>
    <xf numFmtId="181" fontId="0" fillId="0" borderId="8" xfId="0" applyNumberFormat="1" applyBorder="1"/>
    <xf numFmtId="181" fontId="0" fillId="0" borderId="13" xfId="0" applyNumberFormat="1" applyBorder="1"/>
    <xf numFmtId="181" fontId="0" fillId="0" borderId="35" xfId="0" applyNumberFormat="1" applyBorder="1"/>
    <xf numFmtId="181" fontId="0" fillId="0" borderId="3" xfId="0" applyNumberFormat="1" applyBorder="1"/>
    <xf numFmtId="181" fontId="0" fillId="0" borderId="2" xfId="0" applyNumberFormat="1" applyBorder="1"/>
    <xf numFmtId="181" fontId="0" fillId="0" borderId="33" xfId="0" applyNumberFormat="1" applyBorder="1"/>
    <xf numFmtId="181" fontId="0" fillId="0" borderId="20" xfId="0" applyNumberFormat="1" applyBorder="1"/>
    <xf numFmtId="181" fontId="0" fillId="0" borderId="18" xfId="0" applyNumberFormat="1" applyBorder="1"/>
    <xf numFmtId="181" fontId="0" fillId="0" borderId="19" xfId="0" applyNumberFormat="1" applyBorder="1"/>
    <xf numFmtId="178" fontId="0" fillId="30" borderId="32" xfId="0" applyNumberFormat="1" applyFill="1" applyBorder="1"/>
    <xf numFmtId="178" fontId="0" fillId="30" borderId="33" xfId="0" applyNumberFormat="1" applyFill="1" applyBorder="1"/>
    <xf numFmtId="178" fontId="0" fillId="6" borderId="32" xfId="0" applyNumberFormat="1" applyFill="1" applyBorder="1"/>
    <xf numFmtId="178" fontId="0" fillId="6" borderId="33" xfId="0" applyNumberFormat="1" applyFill="1" applyBorder="1"/>
    <xf numFmtId="178" fontId="0" fillId="5" borderId="32" xfId="0" applyNumberFormat="1" applyFill="1" applyBorder="1"/>
    <xf numFmtId="178" fontId="0" fillId="5" borderId="33" xfId="0" applyNumberFormat="1" applyFill="1" applyBorder="1"/>
    <xf numFmtId="178" fontId="0" fillId="18" borderId="32" xfId="0" applyNumberFormat="1" applyFill="1" applyBorder="1"/>
    <xf numFmtId="178" fontId="0" fillId="18" borderId="33" xfId="0" applyNumberFormat="1" applyFill="1" applyBorder="1"/>
    <xf numFmtId="178" fontId="0" fillId="7" borderId="32" xfId="0" applyNumberFormat="1" applyFill="1" applyBorder="1"/>
    <xf numFmtId="178" fontId="0" fillId="7" borderId="33" xfId="0" applyNumberFormat="1" applyFill="1" applyBorder="1"/>
    <xf numFmtId="1" fontId="2" fillId="10" borderId="34" xfId="0" applyNumberFormat="1" applyFont="1" applyFill="1" applyBorder="1" applyAlignment="1">
      <alignment horizontal="center"/>
    </xf>
    <xf numFmtId="1" fontId="2" fillId="10" borderId="32" xfId="0" applyNumberFormat="1" applyFont="1" applyFill="1" applyBorder="1" applyAlignment="1">
      <alignment horizontal="center"/>
    </xf>
    <xf numFmtId="1" fontId="2" fillId="10" borderId="31" xfId="0" applyNumberFormat="1" applyFont="1" applyFill="1" applyBorder="1" applyAlignment="1">
      <alignment horizontal="center"/>
    </xf>
    <xf numFmtId="180" fontId="0" fillId="20" borderId="2" xfId="4" applyNumberFormat="1" applyFont="1" applyFill="1" applyBorder="1" applyAlignment="1">
      <alignment horizontal="center"/>
    </xf>
    <xf numFmtId="180" fontId="0" fillId="20" borderId="18" xfId="4" applyNumberFormat="1" applyFont="1" applyFill="1" applyBorder="1" applyAlignment="1">
      <alignment horizontal="center"/>
    </xf>
    <xf numFmtId="180" fontId="2" fillId="0" borderId="2" xfId="4" applyNumberFormat="1" applyFont="1" applyFill="1" applyBorder="1" applyAlignment="1">
      <alignment horizontal="center"/>
    </xf>
    <xf numFmtId="172" fontId="0" fillId="0" borderId="0" xfId="0" applyNumberFormat="1" applyAlignment="1">
      <alignment horizontal="left" indent="1"/>
    </xf>
    <xf numFmtId="1" fontId="2" fillId="23" borderId="23" xfId="0" applyNumberFormat="1" applyFont="1" applyFill="1" applyBorder="1" applyAlignment="1">
      <alignment horizontal="center"/>
    </xf>
    <xf numFmtId="1" fontId="2" fillId="23" borderId="24" xfId="0" applyNumberFormat="1" applyFont="1" applyFill="1" applyBorder="1" applyAlignment="1">
      <alignment horizontal="center"/>
    </xf>
    <xf numFmtId="1" fontId="2" fillId="23" borderId="25" xfId="0" applyNumberFormat="1" applyFont="1" applyFill="1" applyBorder="1" applyAlignment="1">
      <alignment horizontal="center"/>
    </xf>
    <xf numFmtId="174" fontId="0" fillId="20" borderId="13" xfId="0" applyNumberFormat="1" applyFill="1" applyBorder="1" applyAlignment="1">
      <alignment horizontal="center"/>
    </xf>
    <xf numFmtId="174" fontId="0" fillId="20" borderId="2" xfId="0" applyNumberFormat="1" applyFill="1" applyBorder="1" applyAlignment="1">
      <alignment horizontal="center"/>
    </xf>
    <xf numFmtId="174" fontId="0" fillId="20" borderId="18" xfId="0" applyNumberFormat="1" applyFill="1" applyBorder="1" applyAlignment="1">
      <alignment horizontal="center"/>
    </xf>
    <xf numFmtId="172" fontId="0" fillId="20" borderId="18" xfId="0" quotePrefix="1" applyNumberFormat="1" applyFill="1" applyBorder="1"/>
    <xf numFmtId="173" fontId="0" fillId="20" borderId="2" xfId="0" quotePrefix="1" applyNumberFormat="1" applyFill="1" applyBorder="1"/>
    <xf numFmtId="173" fontId="0" fillId="20" borderId="13" xfId="0" quotePrefix="1" applyNumberFormat="1" applyFill="1" applyBorder="1"/>
    <xf numFmtId="172" fontId="0" fillId="0" borderId="0" xfId="0" applyNumberFormat="1" applyAlignment="1">
      <alignment horizontal="center"/>
    </xf>
    <xf numFmtId="10" fontId="0" fillId="0" borderId="0" xfId="4" applyNumberFormat="1" applyFont="1" applyFill="1" applyBorder="1" applyAlignment="1">
      <alignment horizontal="center"/>
    </xf>
    <xf numFmtId="10" fontId="0" fillId="20" borderId="45" xfId="4" applyNumberFormat="1" applyFont="1" applyFill="1" applyBorder="1" applyAlignment="1">
      <alignment horizontal="center"/>
    </xf>
    <xf numFmtId="9" fontId="0" fillId="0" borderId="2" xfId="4" applyFont="1" applyBorder="1"/>
    <xf numFmtId="9" fontId="0" fillId="25" borderId="2" xfId="4" applyFont="1" applyFill="1" applyBorder="1" applyAlignment="1">
      <alignment horizontal="center"/>
    </xf>
    <xf numFmtId="9" fontId="0" fillId="32" borderId="2" xfId="4" applyFont="1" applyFill="1" applyBorder="1" applyAlignment="1">
      <alignment horizontal="center"/>
    </xf>
    <xf numFmtId="173" fontId="0" fillId="27" borderId="2" xfId="0" applyNumberFormat="1" applyFill="1" applyBorder="1"/>
    <xf numFmtId="172" fontId="0" fillId="0" borderId="0" xfId="6" applyNumberFormat="1" applyFont="1" applyBorder="1"/>
    <xf numFmtId="9" fontId="0" fillId="25" borderId="18" xfId="4" applyFont="1" applyFill="1" applyBorder="1" applyAlignment="1">
      <alignment horizontal="center"/>
    </xf>
    <xf numFmtId="172" fontId="0" fillId="19" borderId="18" xfId="4" applyNumberFormat="1" applyFont="1" applyFill="1" applyBorder="1" applyAlignment="1">
      <alignment horizontal="center"/>
    </xf>
    <xf numFmtId="173" fontId="0" fillId="15" borderId="18" xfId="0" applyNumberFormat="1" applyFill="1" applyBorder="1"/>
    <xf numFmtId="173" fontId="0" fillId="27" borderId="18" xfId="0" applyNumberFormat="1" applyFill="1" applyBorder="1"/>
    <xf numFmtId="9" fontId="0" fillId="25" borderId="13" xfId="4" applyFont="1" applyFill="1" applyBorder="1" applyAlignment="1">
      <alignment horizontal="center"/>
    </xf>
    <xf numFmtId="172" fontId="0" fillId="19" borderId="13" xfId="4" applyNumberFormat="1" applyFont="1" applyFill="1" applyBorder="1" applyAlignment="1">
      <alignment horizontal="center"/>
    </xf>
    <xf numFmtId="173" fontId="0" fillId="15" borderId="13" xfId="0" applyNumberFormat="1" applyFill="1" applyBorder="1"/>
    <xf numFmtId="173" fontId="0" fillId="27" borderId="13" xfId="0" applyNumberFormat="1" applyFill="1" applyBorder="1"/>
    <xf numFmtId="9" fontId="0" fillId="32" borderId="18" xfId="4" applyFont="1" applyFill="1" applyBorder="1" applyAlignment="1">
      <alignment horizontal="center"/>
    </xf>
    <xf numFmtId="1" fontId="2" fillId="31" borderId="24" xfId="0" applyNumberFormat="1" applyFont="1" applyFill="1" applyBorder="1" applyAlignment="1">
      <alignment horizontal="center"/>
    </xf>
    <xf numFmtId="1" fontId="2" fillId="31" borderId="25" xfId="0" applyNumberFormat="1" applyFont="1" applyFill="1" applyBorder="1" applyAlignment="1">
      <alignment horizontal="center"/>
    </xf>
    <xf numFmtId="1" fontId="2" fillId="31" borderId="23" xfId="0" applyNumberFormat="1" applyFont="1" applyFill="1" applyBorder="1" applyAlignment="1">
      <alignment horizontal="center"/>
    </xf>
    <xf numFmtId="9" fontId="0" fillId="32" borderId="13" xfId="4" applyFont="1" applyFill="1" applyBorder="1" applyAlignment="1">
      <alignment horizontal="center"/>
    </xf>
    <xf numFmtId="173" fontId="0" fillId="8" borderId="20" xfId="0" applyNumberFormat="1" applyFill="1" applyBorder="1"/>
    <xf numFmtId="168" fontId="0" fillId="0" borderId="2" xfId="4" applyNumberFormat="1" applyFont="1" applyFill="1" applyBorder="1"/>
    <xf numFmtId="167" fontId="6" fillId="0" borderId="0" xfId="0" applyNumberFormat="1" applyFont="1"/>
    <xf numFmtId="174" fontId="6" fillId="0" borderId="0" xfId="0" applyNumberFormat="1" applyFont="1"/>
    <xf numFmtId="10" fontId="6" fillId="0" borderId="0" xfId="4" applyNumberFormat="1" applyFont="1"/>
    <xf numFmtId="167" fontId="6" fillId="0" borderId="0" xfId="0" applyNumberFormat="1" applyFont="1" applyAlignment="1">
      <alignment horizontal="center"/>
    </xf>
    <xf numFmtId="172" fontId="6" fillId="0" borderId="0" xfId="0" applyNumberFormat="1" applyFont="1"/>
    <xf numFmtId="0" fontId="0" fillId="0" borderId="0" xfId="0" applyAlignment="1">
      <alignment horizontal="right"/>
    </xf>
    <xf numFmtId="0" fontId="4" fillId="0" borderId="0" xfId="2" quotePrefix="1"/>
    <xf numFmtId="0" fontId="0" fillId="0" borderId="0" xfId="0" applyAlignment="1">
      <alignment horizontal="left" indent="1"/>
    </xf>
    <xf numFmtId="173" fontId="0" fillId="0" borderId="44" xfId="0" quotePrefix="1" applyNumberFormat="1" applyBorder="1" applyAlignment="1">
      <alignment horizontal="right" indent="1"/>
    </xf>
    <xf numFmtId="173" fontId="0" fillId="0" borderId="41" xfId="0" quotePrefix="1" applyNumberFormat="1" applyBorder="1" applyAlignment="1">
      <alignment horizontal="right" indent="1"/>
    </xf>
    <xf numFmtId="173" fontId="0" fillId="20" borderId="8" xfId="0" quotePrefix="1" applyNumberFormat="1" applyFill="1" applyBorder="1" applyAlignment="1">
      <alignment horizontal="right"/>
    </xf>
    <xf numFmtId="173" fontId="0" fillId="20" borderId="3" xfId="0" quotePrefix="1" applyNumberFormat="1" applyFill="1" applyBorder="1" applyAlignment="1">
      <alignment horizontal="right"/>
    </xf>
    <xf numFmtId="173" fontId="0" fillId="20" borderId="20" xfId="0" quotePrefix="1" applyNumberFormat="1" applyFill="1" applyBorder="1" applyAlignment="1">
      <alignment horizontal="right"/>
    </xf>
    <xf numFmtId="9" fontId="0" fillId="0" borderId="2" xfId="0" applyNumberFormat="1" applyBorder="1"/>
    <xf numFmtId="173" fontId="0" fillId="0" borderId="2" xfId="0" quotePrefix="1" applyNumberFormat="1" applyBorder="1" applyAlignment="1">
      <alignment horizontal="right"/>
    </xf>
    <xf numFmtId="168" fontId="0" fillId="0" borderId="0" xfId="4" applyNumberFormat="1" applyFont="1" applyFill="1" applyBorder="1"/>
    <xf numFmtId="172" fontId="0" fillId="0" borderId="0" xfId="0" quotePrefix="1" applyNumberFormat="1" applyAlignment="1">
      <alignment horizontal="right"/>
    </xf>
    <xf numFmtId="10" fontId="0" fillId="10" borderId="35" xfId="4" applyNumberFormat="1" applyFont="1" applyFill="1" applyBorder="1" applyAlignment="1">
      <alignment horizontal="center"/>
    </xf>
    <xf numFmtId="10" fontId="0" fillId="10" borderId="33" xfId="4" applyNumberFormat="1" applyFont="1" applyFill="1" applyBorder="1" applyAlignment="1">
      <alignment horizontal="center"/>
    </xf>
    <xf numFmtId="10" fontId="0" fillId="10" borderId="19" xfId="4" applyNumberFormat="1" applyFont="1" applyFill="1" applyBorder="1" applyAlignment="1">
      <alignment horizontal="center"/>
    </xf>
    <xf numFmtId="172" fontId="2" fillId="4" borderId="14" xfId="0" applyNumberFormat="1" applyFont="1" applyFill="1" applyBorder="1" applyAlignment="1">
      <alignment horizontal="center" vertical="center"/>
    </xf>
    <xf numFmtId="172" fontId="2" fillId="4" borderId="37" xfId="0" applyNumberFormat="1" applyFont="1" applyFill="1" applyBorder="1" applyAlignment="1">
      <alignment horizontal="center" wrapText="1"/>
    </xf>
    <xf numFmtId="172" fontId="2" fillId="4" borderId="37" xfId="0" applyNumberFormat="1" applyFont="1" applyFill="1" applyBorder="1" applyAlignment="1">
      <alignment horizontal="center" vertical="center" wrapText="1"/>
    </xf>
    <xf numFmtId="172" fontId="2" fillId="4" borderId="37" xfId="0" applyNumberFormat="1" applyFont="1" applyFill="1" applyBorder="1" applyAlignment="1">
      <alignment horizontal="center" vertical="center"/>
    </xf>
    <xf numFmtId="0" fontId="2" fillId="4" borderId="38" xfId="0" applyFont="1" applyFill="1" applyBorder="1" applyAlignment="1">
      <alignment horizontal="center" vertical="center"/>
    </xf>
    <xf numFmtId="172" fontId="2" fillId="4" borderId="38" xfId="0" applyNumberFormat="1" applyFont="1" applyFill="1" applyBorder="1" applyAlignment="1">
      <alignment horizontal="center" vertical="center"/>
    </xf>
    <xf numFmtId="173" fontId="0" fillId="33" borderId="13" xfId="0" applyNumberFormat="1" applyFill="1" applyBorder="1"/>
    <xf numFmtId="173" fontId="0" fillId="33" borderId="2" xfId="0" applyNumberFormat="1" applyFill="1" applyBorder="1"/>
    <xf numFmtId="173" fontId="0" fillId="33" borderId="18" xfId="0" applyNumberFormat="1" applyFill="1" applyBorder="1"/>
    <xf numFmtId="172" fontId="0" fillId="7" borderId="35" xfId="0" applyNumberFormat="1" applyFill="1" applyBorder="1"/>
    <xf numFmtId="172" fontId="0" fillId="15" borderId="33" xfId="0" applyNumberFormat="1" applyFill="1" applyBorder="1"/>
    <xf numFmtId="173" fontId="0" fillId="15" borderId="33" xfId="0" applyNumberFormat="1" applyFill="1" applyBorder="1"/>
    <xf numFmtId="173" fontId="0" fillId="17" borderId="33" xfId="0" applyNumberFormat="1" applyFill="1" applyBorder="1"/>
    <xf numFmtId="173" fontId="0" fillId="17" borderId="46" xfId="0" applyNumberFormat="1" applyFill="1" applyBorder="1"/>
    <xf numFmtId="0" fontId="0" fillId="0" borderId="0" xfId="0" applyAlignment="1">
      <alignment horizontal="center" vertical="center" wrapText="1"/>
    </xf>
    <xf numFmtId="172" fontId="2" fillId="4" borderId="43" xfId="0" applyNumberFormat="1" applyFont="1" applyFill="1" applyBorder="1" applyAlignment="1">
      <alignment horizontal="center" vertical="center" wrapText="1"/>
    </xf>
    <xf numFmtId="0" fontId="0" fillId="0" borderId="24" xfId="0" applyBorder="1" applyAlignment="1">
      <alignment horizontal="center"/>
    </xf>
    <xf numFmtId="0" fontId="0" fillId="0" borderId="25" xfId="0" applyBorder="1" applyAlignment="1">
      <alignment horizontal="center"/>
    </xf>
    <xf numFmtId="0" fontId="0" fillId="0" borderId="23" xfId="0" applyBorder="1" applyAlignment="1">
      <alignment horizontal="center"/>
    </xf>
    <xf numFmtId="0" fontId="0" fillId="15" borderId="23" xfId="0" applyFill="1" applyBorder="1" applyAlignment="1">
      <alignment horizontal="center"/>
    </xf>
    <xf numFmtId="0" fontId="0" fillId="15" borderId="24" xfId="0" applyFill="1" applyBorder="1" applyAlignment="1">
      <alignment horizontal="center"/>
    </xf>
    <xf numFmtId="0" fontId="0" fillId="15" borderId="25" xfId="0" applyFill="1" applyBorder="1" applyAlignment="1">
      <alignment horizontal="center"/>
    </xf>
    <xf numFmtId="0" fontId="2" fillId="19" borderId="18" xfId="0" applyFont="1" applyFill="1" applyBorder="1" applyAlignment="1">
      <alignment horizontal="center" vertical="center" wrapText="1"/>
    </xf>
    <xf numFmtId="0" fontId="2" fillId="20" borderId="19" xfId="0" applyFont="1" applyFill="1" applyBorder="1" applyAlignment="1">
      <alignment horizontal="center" vertical="center" wrapText="1"/>
    </xf>
    <xf numFmtId="177" fontId="0" fillId="20" borderId="35" xfId="7" applyNumberFormat="1" applyFont="1" applyFill="1" applyBorder="1"/>
    <xf numFmtId="177" fontId="0" fillId="20" borderId="33" xfId="7" applyNumberFormat="1" applyFont="1" applyFill="1" applyBorder="1"/>
    <xf numFmtId="177" fontId="0" fillId="20" borderId="19" xfId="7" applyNumberFormat="1" applyFont="1" applyFill="1" applyBorder="1"/>
    <xf numFmtId="0" fontId="2" fillId="19" borderId="20" xfId="0" applyFont="1" applyFill="1" applyBorder="1" applyAlignment="1">
      <alignment horizontal="center" vertical="center" wrapText="1"/>
    </xf>
    <xf numFmtId="0" fontId="2" fillId="25" borderId="31" xfId="0" applyFont="1" applyFill="1" applyBorder="1" applyAlignment="1">
      <alignment horizontal="center" vertical="center" wrapText="1"/>
    </xf>
    <xf numFmtId="0" fontId="2" fillId="25" borderId="19" xfId="0" applyFont="1" applyFill="1" applyBorder="1" applyAlignment="1">
      <alignment horizontal="center" vertical="center" wrapText="1"/>
    </xf>
    <xf numFmtId="173" fontId="0" fillId="25" borderId="34" xfId="0" quotePrefix="1" applyNumberFormat="1" applyFill="1" applyBorder="1" applyAlignment="1">
      <alignment horizontal="right"/>
    </xf>
    <xf numFmtId="177" fontId="0" fillId="25" borderId="35" xfId="7" applyNumberFormat="1" applyFont="1" applyFill="1" applyBorder="1"/>
    <xf numFmtId="173" fontId="0" fillId="25" borderId="32" xfId="0" quotePrefix="1" applyNumberFormat="1" applyFill="1" applyBorder="1" applyAlignment="1">
      <alignment horizontal="right"/>
    </xf>
    <xf numFmtId="177" fontId="0" fillId="25" borderId="33" xfId="7" applyNumberFormat="1" applyFont="1" applyFill="1" applyBorder="1"/>
    <xf numFmtId="173" fontId="0" fillId="25" borderId="32" xfId="0" applyNumberFormat="1" applyFill="1" applyBorder="1" applyAlignment="1">
      <alignment horizontal="right"/>
    </xf>
    <xf numFmtId="173" fontId="0" fillId="25" borderId="31" xfId="0" applyNumberFormat="1" applyFill="1" applyBorder="1" applyAlignment="1">
      <alignment horizontal="right"/>
    </xf>
    <xf numFmtId="177" fontId="0" fillId="25" borderId="19" xfId="7" applyNumberFormat="1" applyFont="1" applyFill="1" applyBorder="1"/>
    <xf numFmtId="0" fontId="2" fillId="23" borderId="20" xfId="0" applyFont="1" applyFill="1" applyBorder="1" applyAlignment="1">
      <alignment horizontal="center" vertical="center" wrapText="1"/>
    </xf>
    <xf numFmtId="173" fontId="0" fillId="23" borderId="8" xfId="0" quotePrefix="1" applyNumberFormat="1" applyFill="1" applyBorder="1" applyAlignment="1">
      <alignment horizontal="right"/>
    </xf>
    <xf numFmtId="173" fontId="0" fillId="23" borderId="3" xfId="0" quotePrefix="1" applyNumberFormat="1" applyFill="1" applyBorder="1" applyAlignment="1">
      <alignment horizontal="right"/>
    </xf>
    <xf numFmtId="177" fontId="0" fillId="23" borderId="3" xfId="7" applyNumberFormat="1" applyFont="1" applyFill="1" applyBorder="1"/>
    <xf numFmtId="177" fontId="0" fillId="23" borderId="20" xfId="7" applyNumberFormat="1" applyFont="1" applyFill="1" applyBorder="1"/>
    <xf numFmtId="0" fontId="2" fillId="19" borderId="31" xfId="0" applyFont="1" applyFill="1" applyBorder="1" applyAlignment="1">
      <alignment horizontal="center" vertical="center" wrapText="1"/>
    </xf>
    <xf numFmtId="0" fontId="2" fillId="19" borderId="19" xfId="0" applyFont="1" applyFill="1" applyBorder="1" applyAlignment="1">
      <alignment horizontal="center" vertical="center" wrapText="1"/>
    </xf>
    <xf numFmtId="173" fontId="0" fillId="19" borderId="34" xfId="0" quotePrefix="1" applyNumberFormat="1" applyFill="1" applyBorder="1" applyAlignment="1">
      <alignment horizontal="right"/>
    </xf>
    <xf numFmtId="177" fontId="0" fillId="19" borderId="35" xfId="7" applyNumberFormat="1" applyFont="1" applyFill="1" applyBorder="1"/>
    <xf numFmtId="173" fontId="0" fillId="19" borderId="32" xfId="0" quotePrefix="1" applyNumberFormat="1" applyFill="1" applyBorder="1" applyAlignment="1">
      <alignment horizontal="right"/>
    </xf>
    <xf numFmtId="177" fontId="0" fillId="19" borderId="33" xfId="7" applyNumberFormat="1" applyFont="1" applyFill="1" applyBorder="1"/>
    <xf numFmtId="177" fontId="0" fillId="19" borderId="32" xfId="7" applyNumberFormat="1" applyFont="1" applyFill="1" applyBorder="1"/>
    <xf numFmtId="177" fontId="0" fillId="19" borderId="31" xfId="7" applyNumberFormat="1" applyFont="1" applyFill="1" applyBorder="1"/>
    <xf numFmtId="177" fontId="0" fillId="19" borderId="19" xfId="7" applyNumberFormat="1" applyFont="1" applyFill="1" applyBorder="1"/>
    <xf numFmtId="0" fontId="2" fillId="23" borderId="50" xfId="0" applyFont="1" applyFill="1" applyBorder="1" applyAlignment="1">
      <alignment horizontal="center" vertical="center" wrapText="1"/>
    </xf>
    <xf numFmtId="177" fontId="0" fillId="23" borderId="11" xfId="7" applyNumberFormat="1" applyFont="1" applyFill="1" applyBorder="1"/>
    <xf numFmtId="177" fontId="0" fillId="23" borderId="49" xfId="7" applyNumberFormat="1" applyFont="1" applyFill="1" applyBorder="1"/>
    <xf numFmtId="177" fontId="0" fillId="23" borderId="50" xfId="7" applyNumberFormat="1" applyFont="1" applyFill="1" applyBorder="1"/>
    <xf numFmtId="0" fontId="2" fillId="20" borderId="31" xfId="0" applyFont="1" applyFill="1" applyBorder="1" applyAlignment="1">
      <alignment horizontal="center" vertical="center" wrapText="1"/>
    </xf>
    <xf numFmtId="173" fontId="0" fillId="20" borderId="34" xfId="0" quotePrefix="1" applyNumberFormat="1" applyFill="1" applyBorder="1" applyAlignment="1">
      <alignment horizontal="right"/>
    </xf>
    <xf numFmtId="173" fontId="0" fillId="20" borderId="32" xfId="0" quotePrefix="1" applyNumberFormat="1" applyFill="1" applyBorder="1" applyAlignment="1">
      <alignment horizontal="right"/>
    </xf>
    <xf numFmtId="177" fontId="0" fillId="20" borderId="32" xfId="7" applyNumberFormat="1" applyFont="1" applyFill="1" applyBorder="1"/>
    <xf numFmtId="177" fontId="0" fillId="20" borderId="31" xfId="7" applyNumberFormat="1" applyFont="1" applyFill="1" applyBorder="1"/>
    <xf numFmtId="167" fontId="0" fillId="0" borderId="33" xfId="0" applyNumberFormat="1" applyBorder="1" applyAlignment="1">
      <alignment horizontal="center"/>
    </xf>
    <xf numFmtId="167" fontId="0" fillId="0" borderId="19" xfId="0" applyNumberFormat="1" applyBorder="1" applyAlignment="1">
      <alignment horizontal="center"/>
    </xf>
    <xf numFmtId="167" fontId="0" fillId="0" borderId="35" xfId="0" applyNumberFormat="1" applyBorder="1" applyAlignment="1">
      <alignment horizontal="center"/>
    </xf>
    <xf numFmtId="0" fontId="2" fillId="0" borderId="38" xfId="0" applyFont="1" applyBorder="1" applyAlignment="1">
      <alignment horizontal="center"/>
    </xf>
    <xf numFmtId="167" fontId="0" fillId="0" borderId="8" xfId="0" applyNumberFormat="1" applyBorder="1" applyAlignment="1">
      <alignment horizontal="center"/>
    </xf>
    <xf numFmtId="167" fontId="0" fillId="0" borderId="3" xfId="0" applyNumberFormat="1" applyBorder="1" applyAlignment="1">
      <alignment horizontal="center"/>
    </xf>
    <xf numFmtId="0" fontId="0" fillId="0" borderId="20" xfId="0" applyBorder="1" applyAlignment="1">
      <alignment horizontal="center"/>
    </xf>
    <xf numFmtId="0" fontId="2" fillId="19" borderId="23" xfId="0" applyFont="1" applyFill="1" applyBorder="1" applyAlignment="1">
      <alignment horizontal="center"/>
    </xf>
    <xf numFmtId="0" fontId="2" fillId="19" borderId="25" xfId="0" applyFont="1" applyFill="1" applyBorder="1" applyAlignment="1">
      <alignment horizontal="center"/>
    </xf>
    <xf numFmtId="0" fontId="15" fillId="0" borderId="0" xfId="0" applyFont="1" applyAlignment="1">
      <alignment vertical="center" wrapText="1"/>
    </xf>
    <xf numFmtId="0" fontId="18" fillId="0" borderId="0" xfId="0" applyFont="1" applyAlignment="1">
      <alignment vertical="center" wrapText="1"/>
    </xf>
    <xf numFmtId="172" fontId="3" fillId="0" borderId="0" xfId="0" applyNumberFormat="1" applyFont="1" applyAlignment="1">
      <alignment wrapText="1"/>
    </xf>
    <xf numFmtId="173" fontId="0" fillId="8" borderId="8" xfId="0" quotePrefix="1" applyNumberFormat="1" applyFill="1" applyBorder="1" applyAlignment="1">
      <alignment horizontal="right"/>
    </xf>
    <xf numFmtId="173" fontId="0" fillId="8" borderId="3" xfId="0" quotePrefix="1" applyNumberFormat="1" applyFill="1" applyBorder="1" applyAlignment="1">
      <alignment horizontal="right"/>
    </xf>
    <xf numFmtId="173" fontId="0" fillId="8" borderId="20" xfId="0" quotePrefix="1" applyNumberFormat="1" applyFill="1" applyBorder="1" applyAlignment="1">
      <alignment horizontal="right"/>
    </xf>
    <xf numFmtId="173" fontId="0" fillId="34" borderId="13" xfId="0" quotePrefix="1" applyNumberFormat="1" applyFill="1" applyBorder="1" applyAlignment="1">
      <alignment horizontal="right"/>
    </xf>
    <xf numFmtId="173" fontId="0" fillId="34" borderId="2" xfId="0" quotePrefix="1" applyNumberFormat="1" applyFill="1" applyBorder="1" applyAlignment="1">
      <alignment horizontal="right"/>
    </xf>
    <xf numFmtId="173" fontId="0" fillId="34" borderId="18" xfId="0" quotePrefix="1" applyNumberFormat="1" applyFill="1" applyBorder="1" applyAlignment="1">
      <alignment horizontal="right"/>
    </xf>
    <xf numFmtId="173" fontId="0" fillId="26" borderId="13" xfId="0" quotePrefix="1" applyNumberFormat="1" applyFill="1" applyBorder="1" applyAlignment="1">
      <alignment horizontal="right"/>
    </xf>
    <xf numFmtId="173" fontId="0" fillId="26" borderId="2" xfId="0" quotePrefix="1" applyNumberFormat="1" applyFill="1" applyBorder="1" applyAlignment="1">
      <alignment horizontal="right"/>
    </xf>
    <xf numFmtId="173" fontId="0" fillId="26" borderId="18" xfId="0" quotePrefix="1" applyNumberFormat="1" applyFill="1" applyBorder="1" applyAlignment="1">
      <alignment horizontal="right"/>
    </xf>
    <xf numFmtId="173" fontId="0" fillId="12" borderId="13" xfId="0" quotePrefix="1" applyNumberFormat="1" applyFill="1" applyBorder="1" applyAlignment="1">
      <alignment horizontal="right"/>
    </xf>
    <xf numFmtId="173" fontId="0" fillId="12" borderId="2" xfId="0" quotePrefix="1" applyNumberFormat="1" applyFill="1" applyBorder="1" applyAlignment="1">
      <alignment horizontal="right"/>
    </xf>
    <xf numFmtId="173" fontId="0" fillId="12" borderId="18" xfId="0" quotePrefix="1" applyNumberFormat="1" applyFill="1" applyBorder="1" applyAlignment="1">
      <alignment horizontal="right"/>
    </xf>
    <xf numFmtId="177" fontId="0" fillId="21" borderId="13" xfId="7" applyNumberFormat="1" applyFont="1" applyFill="1" applyBorder="1"/>
    <xf numFmtId="177" fontId="0" fillId="21" borderId="2" xfId="7" applyNumberFormat="1" applyFont="1" applyFill="1" applyBorder="1"/>
    <xf numFmtId="177" fontId="0" fillId="21" borderId="18" xfId="7" applyNumberFormat="1" applyFont="1" applyFill="1" applyBorder="1"/>
    <xf numFmtId="177" fontId="0" fillId="4" borderId="13" xfId="7" applyNumberFormat="1" applyFont="1" applyFill="1" applyBorder="1"/>
    <xf numFmtId="177" fontId="0" fillId="4" borderId="2" xfId="7" applyNumberFormat="1" applyFont="1" applyFill="1" applyBorder="1"/>
    <xf numFmtId="177" fontId="0" fillId="4" borderId="18" xfId="7" applyNumberFormat="1" applyFont="1" applyFill="1" applyBorder="1"/>
    <xf numFmtId="177" fontId="0" fillId="10" borderId="13" xfId="7" applyNumberFormat="1" applyFont="1" applyFill="1" applyBorder="1"/>
    <xf numFmtId="177" fontId="0" fillId="10" borderId="2" xfId="7" applyNumberFormat="1" applyFont="1" applyFill="1" applyBorder="1"/>
    <xf numFmtId="177" fontId="0" fillId="10" borderId="18" xfId="7" applyNumberFormat="1" applyFont="1" applyFill="1" applyBorder="1"/>
    <xf numFmtId="177" fontId="0" fillId="27" borderId="35" xfId="7" applyNumberFormat="1" applyFont="1" applyFill="1" applyBorder="1"/>
    <xf numFmtId="177" fontId="0" fillId="27" borderId="33" xfId="7" applyNumberFormat="1" applyFont="1" applyFill="1" applyBorder="1"/>
    <xf numFmtId="177" fontId="0" fillId="27" borderId="19" xfId="7" applyNumberFormat="1" applyFont="1" applyFill="1" applyBorder="1"/>
    <xf numFmtId="9" fontId="0" fillId="0" borderId="0" xfId="4" applyFont="1"/>
    <xf numFmtId="177" fontId="0" fillId="0" borderId="0" xfId="7" applyNumberFormat="1" applyFont="1"/>
    <xf numFmtId="43" fontId="0" fillId="0" borderId="0" xfId="0" applyNumberFormat="1"/>
    <xf numFmtId="0" fontId="0" fillId="19" borderId="23" xfId="0" applyFill="1" applyBorder="1" applyAlignment="1">
      <alignment horizontal="center"/>
    </xf>
    <xf numFmtId="0" fontId="0" fillId="19" borderId="24" xfId="0" applyFill="1" applyBorder="1" applyAlignment="1">
      <alignment horizontal="center"/>
    </xf>
    <xf numFmtId="0" fontId="0" fillId="19" borderId="25" xfId="0" applyFill="1" applyBorder="1" applyAlignment="1">
      <alignment horizontal="right"/>
    </xf>
    <xf numFmtId="10" fontId="0" fillId="16" borderId="8" xfId="4" applyNumberFormat="1" applyFont="1" applyFill="1" applyBorder="1"/>
    <xf numFmtId="10" fontId="0" fillId="16" borderId="3" xfId="4" applyNumberFormat="1" applyFont="1" applyFill="1" applyBorder="1"/>
    <xf numFmtId="10" fontId="0" fillId="15" borderId="13" xfId="4" applyNumberFormat="1" applyFont="1" applyFill="1" applyBorder="1"/>
    <xf numFmtId="10" fontId="0" fillId="15" borderId="2" xfId="4" applyNumberFormat="1" applyFont="1" applyFill="1" applyBorder="1"/>
    <xf numFmtId="10" fontId="0" fillId="25" borderId="35" xfId="4" applyNumberFormat="1" applyFont="1" applyFill="1" applyBorder="1"/>
    <xf numFmtId="10" fontId="0" fillId="25" borderId="33" xfId="4" applyNumberFormat="1" applyFont="1" applyFill="1" applyBorder="1"/>
    <xf numFmtId="10" fontId="2" fillId="20" borderId="20" xfId="4" applyNumberFormat="1" applyFont="1" applyFill="1" applyBorder="1"/>
    <xf numFmtId="10" fontId="2" fillId="20" borderId="18" xfId="4" applyNumberFormat="1" applyFont="1" applyFill="1" applyBorder="1"/>
    <xf numFmtId="10" fontId="2" fillId="20" borderId="19" xfId="4" applyNumberFormat="1" applyFont="1" applyFill="1" applyBorder="1"/>
    <xf numFmtId="172" fontId="4" fillId="0" borderId="14" xfId="2" applyNumberFormat="1" applyBorder="1"/>
    <xf numFmtId="182" fontId="7" fillId="6" borderId="33" xfId="4" applyNumberFormat="1" applyFont="1" applyFill="1" applyBorder="1"/>
    <xf numFmtId="182" fontId="7" fillId="5" borderId="33" xfId="4" applyNumberFormat="1" applyFont="1" applyFill="1" applyBorder="1"/>
    <xf numFmtId="2" fontId="2" fillId="10" borderId="2" xfId="6" applyNumberFormat="1" applyFont="1" applyFill="1" applyBorder="1"/>
    <xf numFmtId="2" fontId="2" fillId="10" borderId="33" xfId="6" applyNumberFormat="1" applyFont="1" applyFill="1" applyBorder="1"/>
    <xf numFmtId="10" fontId="0" fillId="0" borderId="0" xfId="0" applyNumberFormat="1"/>
    <xf numFmtId="1" fontId="2" fillId="0" borderId="24" xfId="0" applyNumberFormat="1" applyFont="1" applyBorder="1" applyAlignment="1">
      <alignment horizontal="center"/>
    </xf>
    <xf numFmtId="1" fontId="2" fillId="0" borderId="25" xfId="0" applyNumberFormat="1" applyFont="1" applyBorder="1" applyAlignment="1">
      <alignment horizontal="center"/>
    </xf>
    <xf numFmtId="0" fontId="3" fillId="0" borderId="0" xfId="0" applyFont="1" applyAlignment="1">
      <alignment horizontal="center"/>
    </xf>
    <xf numFmtId="0" fontId="1" fillId="4" borderId="1" xfId="1" applyFill="1" applyAlignment="1">
      <alignment horizontal="center"/>
    </xf>
    <xf numFmtId="0" fontId="8" fillId="3" borderId="29" xfId="5" applyFont="1" applyBorder="1" applyAlignment="1">
      <alignment horizontal="center"/>
    </xf>
    <xf numFmtId="0" fontId="8" fillId="3" borderId="19" xfId="5" applyFont="1" applyBorder="1" applyAlignment="1">
      <alignment horizontal="center"/>
    </xf>
    <xf numFmtId="172" fontId="2" fillId="4" borderId="16" xfId="0" applyNumberFormat="1" applyFont="1" applyFill="1" applyBorder="1" applyAlignment="1">
      <alignment horizontal="center"/>
    </xf>
    <xf numFmtId="172" fontId="2" fillId="4" borderId="27" xfId="0" applyNumberFormat="1" applyFont="1" applyFill="1" applyBorder="1" applyAlignment="1">
      <alignment horizontal="center"/>
    </xf>
    <xf numFmtId="172" fontId="1" fillId="4" borderId="1" xfId="1" applyNumberFormat="1" applyFill="1" applyAlignment="1">
      <alignment horizontal="center"/>
    </xf>
    <xf numFmtId="0" fontId="2" fillId="4" borderId="27" xfId="0" applyFont="1" applyFill="1" applyBorder="1" applyAlignment="1">
      <alignment horizontal="center"/>
    </xf>
    <xf numFmtId="0" fontId="2" fillId="4" borderId="28" xfId="0" applyFont="1" applyFill="1" applyBorder="1" applyAlignment="1">
      <alignment horizontal="center"/>
    </xf>
    <xf numFmtId="0" fontId="4" fillId="0" borderId="0" xfId="2"/>
    <xf numFmtId="172" fontId="2" fillId="4" borderId="21" xfId="0" applyNumberFormat="1" applyFont="1" applyFill="1" applyBorder="1" applyAlignment="1">
      <alignment horizontal="center" vertical="center"/>
    </xf>
    <xf numFmtId="172" fontId="2" fillId="4" borderId="22" xfId="0" applyNumberFormat="1" applyFont="1" applyFill="1" applyBorder="1" applyAlignment="1">
      <alignment horizontal="center" vertical="center"/>
    </xf>
    <xf numFmtId="172" fontId="2" fillId="4" borderId="47" xfId="0" applyNumberFormat="1" applyFont="1" applyFill="1" applyBorder="1" applyAlignment="1">
      <alignment horizontal="center" vertical="center"/>
    </xf>
    <xf numFmtId="172" fontId="2" fillId="4" borderId="48" xfId="0" applyNumberFormat="1" applyFont="1" applyFill="1" applyBorder="1" applyAlignment="1">
      <alignment horizontal="center" vertical="center"/>
    </xf>
    <xf numFmtId="172" fontId="2" fillId="4" borderId="28" xfId="0" applyNumberFormat="1" applyFont="1" applyFill="1" applyBorder="1" applyAlignment="1">
      <alignment horizontal="center"/>
    </xf>
    <xf numFmtId="172" fontId="2" fillId="4" borderId="29" xfId="0" applyNumberFormat="1" applyFont="1" applyFill="1" applyBorder="1" applyAlignment="1">
      <alignment horizontal="center"/>
    </xf>
    <xf numFmtId="0" fontId="2" fillId="4" borderId="29" xfId="0" applyFont="1" applyFill="1" applyBorder="1" applyAlignment="1">
      <alignment horizontal="center"/>
    </xf>
    <xf numFmtId="0" fontId="8" fillId="0" borderId="0" xfId="0" applyFont="1" applyAlignment="1">
      <alignment wrapText="1"/>
    </xf>
    <xf numFmtId="172" fontId="2" fillId="22" borderId="47" xfId="0" applyNumberFormat="1" applyFont="1" applyFill="1" applyBorder="1" applyAlignment="1">
      <alignment horizontal="center" vertical="center"/>
    </xf>
    <xf numFmtId="172" fontId="2" fillId="22" borderId="48" xfId="0" applyNumberFormat="1" applyFont="1" applyFill="1" applyBorder="1" applyAlignment="1">
      <alignment horizontal="center" vertical="center"/>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172" fontId="0" fillId="4" borderId="28" xfId="0" applyNumberFormat="1" applyFill="1" applyBorder="1" applyAlignment="1">
      <alignment horizontal="center"/>
    </xf>
    <xf numFmtId="172" fontId="0" fillId="4" borderId="29" xfId="0" applyNumberFormat="1" applyFill="1" applyBorder="1" applyAlignment="1">
      <alignment horizontal="center"/>
    </xf>
    <xf numFmtId="172" fontId="1" fillId="4" borderId="0" xfId="1" applyNumberFormat="1" applyFill="1" applyBorder="1" applyAlignment="1">
      <alignment horizontal="center"/>
    </xf>
    <xf numFmtId="0" fontId="4" fillId="0" borderId="0" xfId="2" applyBorder="1"/>
    <xf numFmtId="0" fontId="3" fillId="0" borderId="9" xfId="0" applyFont="1" applyBorder="1" applyAlignment="1">
      <alignment wrapText="1"/>
    </xf>
    <xf numFmtId="0" fontId="3" fillId="0" borderId="0" xfId="0" applyFont="1" applyAlignment="1">
      <alignment wrapText="1"/>
    </xf>
    <xf numFmtId="0" fontId="2" fillId="0" borderId="9" xfId="0" applyFont="1" applyBorder="1"/>
    <xf numFmtId="0" fontId="2" fillId="0" borderId="0" xfId="0" applyFont="1"/>
    <xf numFmtId="0" fontId="13" fillId="0" borderId="9" xfId="0" applyFont="1" applyBorder="1" applyAlignment="1">
      <alignment wrapText="1"/>
    </xf>
    <xf numFmtId="0" fontId="13" fillId="0" borderId="0" xfId="0" applyFont="1" applyAlignment="1">
      <alignment wrapText="1"/>
    </xf>
    <xf numFmtId="0" fontId="2" fillId="19" borderId="2" xfId="0" applyFont="1" applyFill="1" applyBorder="1" applyAlignment="1">
      <alignment wrapText="1"/>
    </xf>
    <xf numFmtId="0" fontId="2" fillId="0" borderId="11" xfId="0" applyFont="1" applyBorder="1"/>
    <xf numFmtId="0" fontId="2" fillId="0" borderId="7" xfId="0" applyFont="1" applyBorder="1"/>
    <xf numFmtId="0" fontId="4" fillId="0" borderId="7" xfId="2" applyBorder="1"/>
    <xf numFmtId="0" fontId="2" fillId="21" borderId="2" xfId="0" applyFont="1" applyFill="1" applyBorder="1" applyAlignment="1">
      <alignment wrapText="1"/>
    </xf>
    <xf numFmtId="0" fontId="2" fillId="26" borderId="2" xfId="0" applyFont="1" applyFill="1" applyBorder="1" applyAlignment="1">
      <alignment wrapText="1"/>
    </xf>
    <xf numFmtId="0" fontId="2" fillId="27" borderId="2" xfId="0" applyFont="1" applyFill="1" applyBorder="1" applyAlignment="1">
      <alignment wrapText="1"/>
    </xf>
    <xf numFmtId="0" fontId="8" fillId="0" borderId="9" xfId="0" applyFont="1" applyBorder="1"/>
    <xf numFmtId="0" fontId="8" fillId="0" borderId="0" xfId="0" applyFont="1"/>
    <xf numFmtId="172" fontId="2" fillId="0" borderId="9" xfId="0" applyNumberFormat="1" applyFont="1" applyBorder="1"/>
    <xf numFmtId="172" fontId="2" fillId="0" borderId="0" xfId="0" applyNumberFormat="1" applyFont="1"/>
    <xf numFmtId="172" fontId="4" fillId="0" borderId="0" xfId="2" applyNumberFormat="1" applyBorder="1"/>
    <xf numFmtId="172" fontId="2" fillId="22" borderId="12" xfId="0" applyNumberFormat="1" applyFont="1" applyFill="1" applyBorder="1" applyAlignment="1">
      <alignment horizontal="center" vertical="center"/>
    </xf>
    <xf numFmtId="172" fontId="2" fillId="22" borderId="13" xfId="0" applyNumberFormat="1" applyFont="1" applyFill="1" applyBorder="1" applyAlignment="1">
      <alignment horizontal="center" vertical="center"/>
    </xf>
    <xf numFmtId="0" fontId="0" fillId="0" borderId="0" xfId="0" applyAlignment="1">
      <alignment wrapText="1"/>
    </xf>
    <xf numFmtId="0" fontId="0" fillId="0" borderId="9" xfId="0" applyBorder="1" applyAlignment="1">
      <alignment wrapText="1"/>
    </xf>
    <xf numFmtId="172" fontId="2" fillId="0" borderId="11" xfId="0" applyNumberFormat="1" applyFont="1" applyBorder="1"/>
    <xf numFmtId="172" fontId="2" fillId="0" borderId="7" xfId="0" applyNumberFormat="1" applyFont="1" applyBorder="1"/>
    <xf numFmtId="172" fontId="4" fillId="0" borderId="7" xfId="2" applyNumberFormat="1" applyBorder="1"/>
    <xf numFmtId="172" fontId="2" fillId="4" borderId="12" xfId="0" applyNumberFormat="1" applyFont="1" applyFill="1" applyBorder="1" applyAlignment="1">
      <alignment horizontal="center" vertical="center"/>
    </xf>
    <xf numFmtId="172" fontId="2" fillId="4" borderId="13" xfId="0" applyNumberFormat="1" applyFont="1" applyFill="1" applyBorder="1" applyAlignment="1">
      <alignment horizontal="center" vertical="center"/>
    </xf>
    <xf numFmtId="172" fontId="2" fillId="4" borderId="26" xfId="0" applyNumberFormat="1" applyFont="1" applyFill="1" applyBorder="1" applyAlignment="1">
      <alignment horizontal="center" vertical="center" wrapText="1"/>
    </xf>
    <xf numFmtId="172" fontId="2" fillId="4" borderId="25" xfId="0" applyNumberFormat="1" applyFont="1" applyFill="1" applyBorder="1" applyAlignment="1">
      <alignment horizontal="center" vertical="center" wrapText="1"/>
    </xf>
    <xf numFmtId="0" fontId="2" fillId="4" borderId="26" xfId="0" applyFont="1" applyFill="1" applyBorder="1" applyAlignment="1">
      <alignment horizontal="center" vertical="center" wrapText="1"/>
    </xf>
    <xf numFmtId="0" fontId="2" fillId="4" borderId="25" xfId="0" applyFont="1" applyFill="1" applyBorder="1" applyAlignment="1">
      <alignment horizontal="center" vertical="center" wrapText="1"/>
    </xf>
    <xf numFmtId="172" fontId="1" fillId="19" borderId="1" xfId="1" applyNumberFormat="1" applyFill="1" applyAlignment="1">
      <alignment horizontal="center"/>
    </xf>
    <xf numFmtId="172" fontId="13" fillId="0" borderId="0" xfId="0" applyNumberFormat="1" applyFont="1"/>
    <xf numFmtId="1" fontId="2" fillId="30" borderId="36" xfId="0" applyNumberFormat="1" applyFont="1" applyFill="1" applyBorder="1" applyAlignment="1">
      <alignment horizontal="center"/>
    </xf>
    <xf numFmtId="1" fontId="2" fillId="30" borderId="38" xfId="0" applyNumberFormat="1" applyFont="1" applyFill="1" applyBorder="1" applyAlignment="1">
      <alignment horizontal="center"/>
    </xf>
    <xf numFmtId="1" fontId="2" fillId="6" borderId="36" xfId="0" applyNumberFormat="1" applyFont="1" applyFill="1" applyBorder="1" applyAlignment="1">
      <alignment horizontal="center"/>
    </xf>
    <xf numFmtId="1" fontId="2" fillId="6" borderId="38" xfId="0" applyNumberFormat="1" applyFont="1" applyFill="1" applyBorder="1" applyAlignment="1">
      <alignment horizontal="center"/>
    </xf>
    <xf numFmtId="1" fontId="2" fillId="5" borderId="36" xfId="0" applyNumberFormat="1" applyFont="1" applyFill="1" applyBorder="1" applyAlignment="1">
      <alignment horizontal="center"/>
    </xf>
    <xf numFmtId="1" fontId="2" fillId="5" borderId="38" xfId="0" applyNumberFormat="1" applyFont="1" applyFill="1" applyBorder="1" applyAlignment="1">
      <alignment horizontal="center"/>
    </xf>
    <xf numFmtId="172" fontId="2" fillId="4" borderId="39" xfId="0" applyNumberFormat="1" applyFont="1" applyFill="1" applyBorder="1" applyAlignment="1">
      <alignment horizontal="center"/>
    </xf>
    <xf numFmtId="172" fontId="2" fillId="4" borderId="42" xfId="0" applyNumberFormat="1" applyFont="1" applyFill="1" applyBorder="1" applyAlignment="1">
      <alignment horizontal="center"/>
    </xf>
    <xf numFmtId="172" fontId="0" fillId="0" borderId="10" xfId="0" applyNumberFormat="1" applyBorder="1"/>
    <xf numFmtId="172" fontId="0" fillId="0" borderId="4" xfId="0" applyNumberFormat="1" applyBorder="1"/>
    <xf numFmtId="172" fontId="0" fillId="0" borderId="5" xfId="0" applyNumberFormat="1" applyBorder="1"/>
    <xf numFmtId="1" fontId="2" fillId="18" borderId="36" xfId="0" applyNumberFormat="1" applyFont="1" applyFill="1" applyBorder="1" applyAlignment="1">
      <alignment horizontal="center"/>
    </xf>
    <xf numFmtId="1" fontId="2" fillId="18" borderId="38" xfId="0" applyNumberFormat="1" applyFont="1" applyFill="1" applyBorder="1" applyAlignment="1">
      <alignment horizontal="center"/>
    </xf>
    <xf numFmtId="1" fontId="2" fillId="7" borderId="36" xfId="0" applyNumberFormat="1" applyFont="1" applyFill="1" applyBorder="1" applyAlignment="1">
      <alignment horizontal="center"/>
    </xf>
    <xf numFmtId="1" fontId="2" fillId="7" borderId="38" xfId="0" applyNumberFormat="1" applyFont="1" applyFill="1" applyBorder="1" applyAlignment="1">
      <alignment horizontal="center"/>
    </xf>
    <xf numFmtId="172" fontId="0" fillId="30" borderId="34" xfId="0" applyNumberFormat="1" applyFill="1" applyBorder="1" applyAlignment="1">
      <alignment horizontal="left"/>
    </xf>
    <xf numFmtId="172" fontId="0" fillId="30" borderId="35" xfId="0" applyNumberFormat="1" applyFill="1" applyBorder="1" applyAlignment="1">
      <alignment horizontal="left"/>
    </xf>
    <xf numFmtId="172" fontId="0" fillId="6" borderId="34" xfId="0" applyNumberFormat="1" applyFill="1" applyBorder="1" applyAlignment="1">
      <alignment horizontal="left"/>
    </xf>
    <xf numFmtId="172" fontId="0" fillId="6" borderId="35" xfId="0" applyNumberFormat="1" applyFill="1" applyBorder="1" applyAlignment="1">
      <alignment horizontal="left"/>
    </xf>
    <xf numFmtId="172" fontId="0" fillId="5" borderId="34" xfId="0" applyNumberFormat="1" applyFill="1" applyBorder="1" applyAlignment="1">
      <alignment horizontal="left"/>
    </xf>
    <xf numFmtId="172" fontId="0" fillId="5" borderId="35" xfId="0" applyNumberFormat="1" applyFill="1" applyBorder="1" applyAlignment="1">
      <alignment horizontal="left"/>
    </xf>
    <xf numFmtId="172" fontId="0" fillId="18" borderId="34" xfId="0" applyNumberFormat="1" applyFill="1" applyBorder="1" applyAlignment="1">
      <alignment horizontal="left"/>
    </xf>
    <xf numFmtId="172" fontId="0" fillId="18" borderId="35" xfId="0" applyNumberFormat="1" applyFill="1" applyBorder="1" applyAlignment="1">
      <alignment horizontal="left"/>
    </xf>
    <xf numFmtId="172" fontId="0" fillId="7" borderId="34" xfId="0" applyNumberFormat="1" applyFill="1" applyBorder="1" applyAlignment="1">
      <alignment horizontal="left"/>
    </xf>
    <xf numFmtId="172" fontId="0" fillId="7" borderId="35" xfId="0" applyNumberFormat="1" applyFill="1" applyBorder="1" applyAlignment="1">
      <alignment horizontal="left"/>
    </xf>
    <xf numFmtId="10" fontId="2" fillId="26" borderId="40" xfId="4" applyNumberFormat="1" applyFont="1" applyFill="1" applyBorder="1" applyAlignment="1">
      <alignment horizontal="center"/>
    </xf>
    <xf numFmtId="10" fontId="2" fillId="26" borderId="41" xfId="4" applyNumberFormat="1" applyFont="1" applyFill="1" applyBorder="1" applyAlignment="1">
      <alignment horizontal="center"/>
    </xf>
    <xf numFmtId="172" fontId="2" fillId="4" borderId="28" xfId="0" applyNumberFormat="1" applyFont="1" applyFill="1" applyBorder="1" applyAlignment="1">
      <alignment horizontal="center" vertical="center" wrapText="1"/>
    </xf>
    <xf numFmtId="172" fontId="2" fillId="4" borderId="18" xfId="0" applyNumberFormat="1" applyFont="1" applyFill="1" applyBorder="1" applyAlignment="1">
      <alignment horizontal="center" vertical="center" wrapText="1"/>
    </xf>
    <xf numFmtId="172" fontId="4" fillId="0" borderId="0" xfId="2" applyNumberFormat="1"/>
    <xf numFmtId="172" fontId="8" fillId="0" borderId="0" xfId="0" applyNumberFormat="1" applyFont="1"/>
    <xf numFmtId="172" fontId="2" fillId="4" borderId="28" xfId="0" applyNumberFormat="1" applyFont="1" applyFill="1" applyBorder="1" applyAlignment="1">
      <alignment horizontal="center" vertical="center"/>
    </xf>
    <xf numFmtId="172" fontId="2" fillId="4" borderId="18" xfId="0" applyNumberFormat="1" applyFont="1" applyFill="1" applyBorder="1" applyAlignment="1">
      <alignment horizontal="center" vertical="center"/>
    </xf>
    <xf numFmtId="172" fontId="2" fillId="4" borderId="29" xfId="0" applyNumberFormat="1" applyFont="1" applyFill="1" applyBorder="1" applyAlignment="1">
      <alignment horizontal="center" vertical="center"/>
    </xf>
    <xf numFmtId="172" fontId="2" fillId="4" borderId="19" xfId="0" applyNumberFormat="1" applyFont="1" applyFill="1" applyBorder="1" applyAlignment="1">
      <alignment horizontal="center" vertical="center"/>
    </xf>
    <xf numFmtId="1" fontId="2" fillId="4" borderId="26" xfId="0" applyNumberFormat="1" applyFont="1" applyFill="1" applyBorder="1" applyAlignment="1">
      <alignment horizontal="center" vertical="center" wrapText="1"/>
    </xf>
    <xf numFmtId="1" fontId="2" fillId="4" borderId="25" xfId="0" applyNumberFormat="1" applyFont="1" applyFill="1" applyBorder="1" applyAlignment="1">
      <alignment horizontal="center" vertical="center" wrapText="1"/>
    </xf>
    <xf numFmtId="172" fontId="2" fillId="4" borderId="27" xfId="0" applyNumberFormat="1" applyFont="1" applyFill="1" applyBorder="1" applyAlignment="1">
      <alignment horizontal="center" vertical="center" wrapText="1"/>
    </xf>
    <xf numFmtId="172" fontId="2" fillId="4" borderId="20" xfId="0" applyNumberFormat="1" applyFont="1" applyFill="1" applyBorder="1" applyAlignment="1">
      <alignment horizontal="center" vertical="center" wrapText="1"/>
    </xf>
    <xf numFmtId="0" fontId="1" fillId="19" borderId="1" xfId="1" applyFill="1" applyAlignment="1">
      <alignment horizontal="center"/>
    </xf>
    <xf numFmtId="0" fontId="18" fillId="0" borderId="0" xfId="0" applyFont="1" applyAlignment="1">
      <alignment vertical="center" wrapText="1"/>
    </xf>
    <xf numFmtId="0" fontId="0" fillId="0" borderId="0" xfId="0"/>
    <xf numFmtId="0" fontId="0" fillId="0" borderId="0" xfId="0" applyAlignment="1">
      <alignment horizontal="center" wrapText="1"/>
    </xf>
    <xf numFmtId="0" fontId="2" fillId="19" borderId="26" xfId="0" applyFont="1" applyFill="1" applyBorder="1" applyAlignment="1">
      <alignment horizontal="center" vertical="center"/>
    </xf>
    <xf numFmtId="0" fontId="2" fillId="19" borderId="25" xfId="0" applyFont="1" applyFill="1" applyBorder="1" applyAlignment="1">
      <alignment horizontal="center" vertical="center"/>
    </xf>
    <xf numFmtId="0" fontId="2" fillId="19" borderId="27" xfId="0" applyFont="1" applyFill="1" applyBorder="1" applyAlignment="1">
      <alignment horizontal="center"/>
    </xf>
    <xf numFmtId="0" fontId="2" fillId="19" borderId="28" xfId="0" applyFont="1" applyFill="1" applyBorder="1" applyAlignment="1">
      <alignment horizontal="center"/>
    </xf>
    <xf numFmtId="0" fontId="2" fillId="19" borderId="29" xfId="0" applyFont="1" applyFill="1" applyBorder="1" applyAlignment="1">
      <alignment horizontal="center"/>
    </xf>
    <xf numFmtId="0" fontId="0" fillId="19" borderId="27" xfId="0" applyFill="1" applyBorder="1" applyAlignment="1">
      <alignment horizontal="center" wrapText="1"/>
    </xf>
    <xf numFmtId="0" fontId="0" fillId="19" borderId="20" xfId="0" applyFill="1" applyBorder="1" applyAlignment="1">
      <alignment horizontal="center" wrapText="1"/>
    </xf>
    <xf numFmtId="0" fontId="0" fillId="19" borderId="28" xfId="0" applyFill="1" applyBorder="1" applyAlignment="1">
      <alignment horizontal="center" wrapText="1"/>
    </xf>
    <xf numFmtId="0" fontId="0" fillId="19" borderId="18" xfId="0" applyFill="1" applyBorder="1" applyAlignment="1">
      <alignment horizontal="center" wrapText="1"/>
    </xf>
    <xf numFmtId="0" fontId="0" fillId="19" borderId="29" xfId="0" applyFill="1" applyBorder="1" applyAlignment="1">
      <alignment horizontal="center" wrapText="1"/>
    </xf>
    <xf numFmtId="0" fontId="0" fillId="19" borderId="19" xfId="0" applyFill="1" applyBorder="1" applyAlignment="1">
      <alignment horizontal="center" wrapText="1"/>
    </xf>
    <xf numFmtId="0" fontId="0" fillId="19" borderId="26" xfId="0" applyFill="1" applyBorder="1" applyAlignment="1">
      <alignment horizontal="center" vertical="center"/>
    </xf>
    <xf numFmtId="0" fontId="0" fillId="19" borderId="25" xfId="0" applyFill="1" applyBorder="1" applyAlignment="1">
      <alignment horizontal="center" vertical="center"/>
    </xf>
    <xf numFmtId="0" fontId="2" fillId="15" borderId="21" xfId="0" applyFont="1" applyFill="1" applyBorder="1" applyAlignment="1">
      <alignment horizontal="center" vertical="center"/>
    </xf>
    <xf numFmtId="0" fontId="2" fillId="15" borderId="22" xfId="0" applyFont="1" applyFill="1" applyBorder="1" applyAlignment="1">
      <alignment horizontal="center" vertical="center"/>
    </xf>
    <xf numFmtId="0" fontId="2" fillId="25" borderId="51" xfId="0" applyFont="1" applyFill="1" applyBorder="1" applyAlignment="1">
      <alignment horizontal="center"/>
    </xf>
    <xf numFmtId="0" fontId="2" fillId="25" borderId="17" xfId="0" applyFont="1" applyFill="1" applyBorder="1" applyAlignment="1">
      <alignment horizontal="center"/>
    </xf>
    <xf numFmtId="0" fontId="2" fillId="19" borderId="51" xfId="0" applyFont="1" applyFill="1" applyBorder="1" applyAlignment="1">
      <alignment horizontal="center"/>
    </xf>
    <xf numFmtId="0" fontId="2" fillId="19" borderId="17" xfId="0" applyFont="1" applyFill="1" applyBorder="1" applyAlignment="1">
      <alignment horizontal="center"/>
    </xf>
    <xf numFmtId="0" fontId="2" fillId="23" borderId="51" xfId="0" applyFont="1" applyFill="1" applyBorder="1" applyAlignment="1">
      <alignment horizontal="center"/>
    </xf>
    <xf numFmtId="0" fontId="2" fillId="23" borderId="17" xfId="0" applyFont="1" applyFill="1" applyBorder="1" applyAlignment="1">
      <alignment horizontal="center"/>
    </xf>
    <xf numFmtId="0" fontId="2" fillId="20" borderId="51" xfId="0" applyFont="1" applyFill="1" applyBorder="1" applyAlignment="1">
      <alignment horizontal="center"/>
    </xf>
    <xf numFmtId="0" fontId="2" fillId="20" borderId="17" xfId="0" applyFont="1" applyFill="1" applyBorder="1" applyAlignment="1">
      <alignment horizontal="center"/>
    </xf>
    <xf numFmtId="0" fontId="4" fillId="0" borderId="0" xfId="2" applyAlignment="1">
      <alignment vertical="center"/>
    </xf>
    <xf numFmtId="172" fontId="3" fillId="0" borderId="0" xfId="0" applyNumberFormat="1" applyFont="1" applyAlignment="1">
      <alignment wrapText="1"/>
    </xf>
  </cellXfs>
  <cellStyles count="8">
    <cellStyle name="60% - Accent4" xfId="5" builtinId="44"/>
    <cellStyle name="Accent1" xfId="3" builtinId="29"/>
    <cellStyle name="Comma" xfId="7" builtinId="3"/>
    <cellStyle name="Currency" xfId="6" builtinId="4"/>
    <cellStyle name="Heading 1" xfId="1" builtinId="16"/>
    <cellStyle name="Hyperlink" xfId="2" builtinId="8"/>
    <cellStyle name="Normal" xfId="0" builtinId="0"/>
    <cellStyle name="Percent" xfId="4" builtinId="5"/>
  </cellStyles>
  <dxfs count="0"/>
  <tableStyles count="0" defaultTableStyle="TableStyleMedium2" defaultPivotStyle="PivotStyleLight16"/>
  <colors>
    <mruColors>
      <color rgb="FF8A2A2A"/>
      <color rgb="FFFBD4CF"/>
      <color rgb="FFEFB3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Key</a:t>
            </a:r>
            <a:r>
              <a:rPr lang="en-IN" baseline="0"/>
              <a:t> Ratios Trends (2014-2018)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Overview!$I$7</c:f>
              <c:strCache>
                <c:ptCount val="1"/>
                <c:pt idx="0">
                  <c:v>Revenue growth</c:v>
                </c:pt>
              </c:strCache>
            </c:strRef>
          </c:tx>
          <c:spPr>
            <a:solidFill>
              <a:schemeClr val="accent1"/>
            </a:solidFill>
            <a:ln>
              <a:noFill/>
            </a:ln>
            <a:effectLst/>
          </c:spPr>
          <c:invertIfNegative val="0"/>
          <c:cat>
            <c:multiLvlStrRef>
              <c:f>Overview!$J$5:$N$6</c:f>
              <c:multiLvlStrCache>
                <c:ptCount val="5"/>
                <c:lvl>
                  <c:pt idx="0">
                    <c:v>2014</c:v>
                  </c:pt>
                  <c:pt idx="1">
                    <c:v>2015</c:v>
                  </c:pt>
                  <c:pt idx="2">
                    <c:v>2016</c:v>
                  </c:pt>
                  <c:pt idx="3">
                    <c:v>2017</c:v>
                  </c:pt>
                  <c:pt idx="4">
                    <c:v>2018</c:v>
                  </c:pt>
                </c:lvl>
                <c:lvl>
                  <c:pt idx="0">
                    <c:v>Years</c:v>
                  </c:pt>
                </c:lvl>
              </c:multiLvlStrCache>
            </c:multiLvlStrRef>
          </c:cat>
          <c:val>
            <c:numRef>
              <c:f>Overview!$J$7:$N$7</c:f>
              <c:numCache>
                <c:formatCode>0.00%;\(0.00%\)</c:formatCode>
                <c:ptCount val="5"/>
                <c:pt idx="0">
                  <c:v>0</c:v>
                </c:pt>
                <c:pt idx="1">
                  <c:v>-7.5012075381789625E-2</c:v>
                </c:pt>
                <c:pt idx="2">
                  <c:v>-4.3199893399009093E-2</c:v>
                </c:pt>
                <c:pt idx="3">
                  <c:v>-9.2499548219490829E-2</c:v>
                </c:pt>
                <c:pt idx="4">
                  <c:v>-0.10063328292422634</c:v>
                </c:pt>
              </c:numCache>
            </c:numRef>
          </c:val>
          <c:extLst>
            <c:ext xmlns:c16="http://schemas.microsoft.com/office/drawing/2014/chart" uri="{C3380CC4-5D6E-409C-BE32-E72D297353CC}">
              <c16:uniqueId val="{00000000-4B93-431C-9CA4-A85D879F2E84}"/>
            </c:ext>
          </c:extLst>
        </c:ser>
        <c:ser>
          <c:idx val="1"/>
          <c:order val="1"/>
          <c:tx>
            <c:strRef>
              <c:f>Overview!$I$8</c:f>
              <c:strCache>
                <c:ptCount val="1"/>
                <c:pt idx="0">
                  <c:v>EPS growth</c:v>
                </c:pt>
              </c:strCache>
            </c:strRef>
          </c:tx>
          <c:spPr>
            <a:solidFill>
              <a:schemeClr val="accent2"/>
            </a:solidFill>
            <a:ln>
              <a:solidFill>
                <a:schemeClr val="tx2">
                  <a:lumMod val="75000"/>
                  <a:alpha val="98000"/>
                </a:schemeClr>
              </a:solidFill>
            </a:ln>
            <a:effectLst/>
          </c:spPr>
          <c:invertIfNegative val="0"/>
          <c:cat>
            <c:multiLvlStrRef>
              <c:f>Overview!$J$5:$N$6</c:f>
              <c:multiLvlStrCache>
                <c:ptCount val="5"/>
                <c:lvl>
                  <c:pt idx="0">
                    <c:v>2014</c:v>
                  </c:pt>
                  <c:pt idx="1">
                    <c:v>2015</c:v>
                  </c:pt>
                  <c:pt idx="2">
                    <c:v>2016</c:v>
                  </c:pt>
                  <c:pt idx="3">
                    <c:v>2017</c:v>
                  </c:pt>
                  <c:pt idx="4">
                    <c:v>2018</c:v>
                  </c:pt>
                </c:lvl>
                <c:lvl>
                  <c:pt idx="0">
                    <c:v>Years</c:v>
                  </c:pt>
                </c:lvl>
              </c:multiLvlStrCache>
            </c:multiLvlStrRef>
          </c:cat>
          <c:val>
            <c:numRef>
              <c:f>Overview!$J$8:$N$8</c:f>
              <c:numCache>
                <c:formatCode>0.00%;\(0.00%\)</c:formatCode>
                <c:ptCount val="5"/>
                <c:pt idx="0">
                  <c:v>0</c:v>
                </c:pt>
                <c:pt idx="1">
                  <c:v>-3.913894324853319E-3</c:v>
                </c:pt>
                <c:pt idx="2">
                  <c:v>0.11787819253438125</c:v>
                </c:pt>
                <c:pt idx="3">
                  <c:v>0.14762741652021086</c:v>
                </c:pt>
                <c:pt idx="4">
                  <c:v>0.15467075038284836</c:v>
                </c:pt>
              </c:numCache>
            </c:numRef>
          </c:val>
          <c:extLst>
            <c:ext xmlns:c16="http://schemas.microsoft.com/office/drawing/2014/chart" uri="{C3380CC4-5D6E-409C-BE32-E72D297353CC}">
              <c16:uniqueId val="{00000001-4B93-431C-9CA4-A85D879F2E84}"/>
            </c:ext>
          </c:extLst>
        </c:ser>
        <c:ser>
          <c:idx val="2"/>
          <c:order val="2"/>
          <c:tx>
            <c:strRef>
              <c:f>Overview!$I$9</c:f>
              <c:strCache>
                <c:ptCount val="1"/>
                <c:pt idx="0">
                  <c:v>Operating margin</c:v>
                </c:pt>
              </c:strCache>
            </c:strRef>
          </c:tx>
          <c:spPr>
            <a:solidFill>
              <a:schemeClr val="accent3"/>
            </a:solidFill>
            <a:ln>
              <a:noFill/>
            </a:ln>
            <a:effectLst/>
          </c:spPr>
          <c:invertIfNegative val="0"/>
          <c:cat>
            <c:multiLvlStrRef>
              <c:f>Overview!$J$5:$N$6</c:f>
              <c:multiLvlStrCache>
                <c:ptCount val="5"/>
                <c:lvl>
                  <c:pt idx="0">
                    <c:v>2014</c:v>
                  </c:pt>
                  <c:pt idx="1">
                    <c:v>2015</c:v>
                  </c:pt>
                  <c:pt idx="2">
                    <c:v>2016</c:v>
                  </c:pt>
                  <c:pt idx="3">
                    <c:v>2017</c:v>
                  </c:pt>
                  <c:pt idx="4">
                    <c:v>2018</c:v>
                  </c:pt>
                </c:lvl>
                <c:lvl>
                  <c:pt idx="0">
                    <c:v>Years</c:v>
                  </c:pt>
                </c:lvl>
              </c:multiLvlStrCache>
            </c:multiLvlStrRef>
          </c:cat>
          <c:val>
            <c:numRef>
              <c:f>Overview!$J$9:$N$9</c:f>
              <c:numCache>
                <c:formatCode>0.00%;\(0.00%\)</c:formatCode>
                <c:ptCount val="5"/>
                <c:pt idx="0">
                  <c:v>0.28967286535258902</c:v>
                </c:pt>
                <c:pt idx="1">
                  <c:v>0.28119466414827055</c:v>
                </c:pt>
                <c:pt idx="2">
                  <c:v>0.31453705847233565</c:v>
                </c:pt>
                <c:pt idx="3">
                  <c:v>0.41860353017475599</c:v>
                </c:pt>
                <c:pt idx="4">
                  <c:v>0.41962026520556284</c:v>
                </c:pt>
              </c:numCache>
            </c:numRef>
          </c:val>
          <c:extLst>
            <c:ext xmlns:c16="http://schemas.microsoft.com/office/drawing/2014/chart" uri="{C3380CC4-5D6E-409C-BE32-E72D297353CC}">
              <c16:uniqueId val="{00000002-4B93-431C-9CA4-A85D879F2E84}"/>
            </c:ext>
          </c:extLst>
        </c:ser>
        <c:ser>
          <c:idx val="3"/>
          <c:order val="3"/>
          <c:tx>
            <c:strRef>
              <c:f>Overview!$I$10</c:f>
              <c:strCache>
                <c:ptCount val="1"/>
                <c:pt idx="0">
                  <c:v>Net margin</c:v>
                </c:pt>
              </c:strCache>
            </c:strRef>
          </c:tx>
          <c:spPr>
            <a:solidFill>
              <a:schemeClr val="accent4"/>
            </a:solidFill>
            <a:ln>
              <a:noFill/>
            </a:ln>
            <a:effectLst/>
          </c:spPr>
          <c:invertIfNegative val="0"/>
          <c:cat>
            <c:multiLvlStrRef>
              <c:f>Overview!$J$5:$N$6</c:f>
              <c:multiLvlStrCache>
                <c:ptCount val="5"/>
                <c:lvl>
                  <c:pt idx="0">
                    <c:v>2014</c:v>
                  </c:pt>
                  <c:pt idx="1">
                    <c:v>2015</c:v>
                  </c:pt>
                  <c:pt idx="2">
                    <c:v>2016</c:v>
                  </c:pt>
                  <c:pt idx="3">
                    <c:v>2017</c:v>
                  </c:pt>
                  <c:pt idx="4">
                    <c:v>2018</c:v>
                  </c:pt>
                </c:lvl>
                <c:lvl>
                  <c:pt idx="0">
                    <c:v>Years</c:v>
                  </c:pt>
                </c:lvl>
              </c:multiLvlStrCache>
            </c:multiLvlStrRef>
          </c:cat>
          <c:val>
            <c:numRef>
              <c:f>Overview!$J$10:$N$10</c:f>
              <c:numCache>
                <c:formatCode>0.00%;\(0.00%\)</c:formatCode>
                <c:ptCount val="5"/>
                <c:pt idx="0">
                  <c:v>0.17338828699806497</c:v>
                </c:pt>
                <c:pt idx="1">
                  <c:v>0.17821587376539566</c:v>
                </c:pt>
                <c:pt idx="2">
                  <c:v>0.19033868223004727</c:v>
                </c:pt>
                <c:pt idx="3">
                  <c:v>0.22752887767085603</c:v>
                </c:pt>
                <c:pt idx="4">
                  <c:v>0.28177139813176572</c:v>
                </c:pt>
              </c:numCache>
            </c:numRef>
          </c:val>
          <c:extLst>
            <c:ext xmlns:c16="http://schemas.microsoft.com/office/drawing/2014/chart" uri="{C3380CC4-5D6E-409C-BE32-E72D297353CC}">
              <c16:uniqueId val="{00000003-4B93-431C-9CA4-A85D879F2E84}"/>
            </c:ext>
          </c:extLst>
        </c:ser>
        <c:dLbls>
          <c:showLegendKey val="0"/>
          <c:showVal val="0"/>
          <c:showCatName val="0"/>
          <c:showSerName val="0"/>
          <c:showPercent val="0"/>
          <c:showBubbleSize val="0"/>
        </c:dLbls>
        <c:gapWidth val="219"/>
        <c:overlap val="-27"/>
        <c:axId val="429084943"/>
        <c:axId val="429074863"/>
      </c:barChart>
      <c:catAx>
        <c:axId val="42908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74863"/>
        <c:crosses val="autoZero"/>
        <c:auto val="1"/>
        <c:lblAlgn val="ctr"/>
        <c:lblOffset val="100"/>
        <c:noMultiLvlLbl val="0"/>
      </c:catAx>
      <c:valAx>
        <c:axId val="429074863"/>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84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Key</a:t>
            </a:r>
            <a:r>
              <a:rPr lang="en-IN" baseline="0"/>
              <a:t> Ratios Trends(2014-2018)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'Balance Sheet'!$H$7</c:f>
              <c:strCache>
                <c:ptCount val="1"/>
                <c:pt idx="0">
                  <c:v>Return on Assets (ROA)</c:v>
                </c:pt>
              </c:strCache>
            </c:strRef>
          </c:tx>
          <c:spPr>
            <a:solidFill>
              <a:schemeClr val="accent1"/>
            </a:solidFill>
            <a:ln>
              <a:noFill/>
            </a:ln>
            <a:effectLst/>
          </c:spPr>
          <c:invertIfNegative val="0"/>
          <c:val>
            <c:numRef>
              <c:f>'Balance Sheet'!$I$7:$M$7</c:f>
              <c:numCache>
                <c:formatCode>0.00%</c:formatCode>
                <c:ptCount val="5"/>
                <c:pt idx="0">
                  <c:v>0.1389727520144568</c:v>
                </c:pt>
                <c:pt idx="1">
                  <c:v>0.11942719659988713</c:v>
                </c:pt>
                <c:pt idx="2">
                  <c:v>0.15109686585773238</c:v>
                </c:pt>
                <c:pt idx="3">
                  <c:v>0.15366524519197836</c:v>
                </c:pt>
                <c:pt idx="4">
                  <c:v>0.18055724874433124</c:v>
                </c:pt>
              </c:numCache>
            </c:numRef>
          </c:val>
          <c:extLst>
            <c:ext xmlns:c16="http://schemas.microsoft.com/office/drawing/2014/chart" uri="{C3380CC4-5D6E-409C-BE32-E72D297353CC}">
              <c16:uniqueId val="{00000000-8CD7-48DF-8643-76237A631B86}"/>
            </c:ext>
          </c:extLst>
        </c:ser>
        <c:ser>
          <c:idx val="1"/>
          <c:order val="1"/>
          <c:tx>
            <c:strRef>
              <c:f>'Balance Sheet'!$H$8</c:f>
              <c:strCache>
                <c:ptCount val="1"/>
                <c:pt idx="0">
                  <c:v>Debt to Asset ratio (D/A)</c:v>
                </c:pt>
              </c:strCache>
            </c:strRef>
          </c:tx>
          <c:spPr>
            <a:solidFill>
              <a:schemeClr val="accent2"/>
            </a:solidFill>
            <a:ln>
              <a:noFill/>
            </a:ln>
            <a:effectLst/>
          </c:spPr>
          <c:invertIfNegative val="0"/>
          <c:val>
            <c:numRef>
              <c:f>'Balance Sheet'!$I$8:$M$8</c:f>
              <c:numCache>
                <c:formatCode>0.00%</c:formatCode>
                <c:ptCount val="5"/>
                <c:pt idx="0">
                  <c:v>0.49672484617587082</c:v>
                </c:pt>
                <c:pt idx="1">
                  <c:v>0.69048491382150667</c:v>
                </c:pt>
                <c:pt idx="2">
                  <c:v>0.90068624512069717</c:v>
                </c:pt>
                <c:pt idx="3">
                  <c:v>0.90791244745397692</c:v>
                </c:pt>
                <c:pt idx="4">
                  <c:v>0.98050665626371492</c:v>
                </c:pt>
              </c:numCache>
            </c:numRef>
          </c:val>
          <c:extLst>
            <c:ext xmlns:c16="http://schemas.microsoft.com/office/drawing/2014/chart" uri="{C3380CC4-5D6E-409C-BE32-E72D297353CC}">
              <c16:uniqueId val="{00000001-8CD7-48DF-8643-76237A631B86}"/>
            </c:ext>
          </c:extLst>
        </c:ser>
        <c:ser>
          <c:idx val="2"/>
          <c:order val="2"/>
          <c:tx>
            <c:strRef>
              <c:f>'Balance Sheet'!$H$9</c:f>
              <c:strCache>
                <c:ptCount val="1"/>
                <c:pt idx="0">
                  <c:v>Current Ratio </c:v>
                </c:pt>
              </c:strCache>
            </c:strRef>
          </c:tx>
          <c:spPr>
            <a:solidFill>
              <a:schemeClr val="accent3"/>
            </a:solidFill>
            <a:ln>
              <a:noFill/>
            </a:ln>
            <a:effectLst/>
          </c:spPr>
          <c:invertIfNegative val="0"/>
          <c:val>
            <c:numRef>
              <c:f>'Balance Sheet'!$I$9:$M$9</c:f>
              <c:numCache>
                <c:formatCode>0.00%</c:formatCode>
                <c:ptCount val="5"/>
                <c:pt idx="0">
                  <c:v>1.5231631427635648</c:v>
                </c:pt>
                <c:pt idx="1">
                  <c:v>3.2683703904555323</c:v>
                </c:pt>
                <c:pt idx="2">
                  <c:v>1.3979759536372287</c:v>
                </c:pt>
                <c:pt idx="3">
                  <c:v>1.8429391821767105</c:v>
                </c:pt>
                <c:pt idx="4">
                  <c:v>1.3631074491340172</c:v>
                </c:pt>
              </c:numCache>
            </c:numRef>
          </c:val>
          <c:extLst>
            <c:ext xmlns:c16="http://schemas.microsoft.com/office/drawing/2014/chart" uri="{C3380CC4-5D6E-409C-BE32-E72D297353CC}">
              <c16:uniqueId val="{00000002-8CD7-48DF-8643-76237A631B86}"/>
            </c:ext>
          </c:extLst>
        </c:ser>
        <c:dLbls>
          <c:showLegendKey val="0"/>
          <c:showVal val="0"/>
          <c:showCatName val="0"/>
          <c:showSerName val="0"/>
          <c:showPercent val="0"/>
          <c:showBubbleSize val="0"/>
        </c:dLbls>
        <c:gapWidth val="219"/>
        <c:overlap val="-27"/>
        <c:axId val="1496111167"/>
        <c:axId val="1496110687"/>
      </c:barChart>
      <c:catAx>
        <c:axId val="149611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110687"/>
        <c:crosses val="autoZero"/>
        <c:auto val="1"/>
        <c:lblAlgn val="ctr"/>
        <c:lblOffset val="100"/>
        <c:noMultiLvlLbl val="0"/>
      </c:catAx>
      <c:valAx>
        <c:axId val="1496110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111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Key</a:t>
            </a:r>
            <a:r>
              <a:rPr lang="en-IN" baseline="0"/>
              <a:t> Ratios Trends (2014-2018)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258605616872473"/>
          <c:y val="0.10308665043254849"/>
          <c:w val="0.82544377280212877"/>
          <c:h val="0.76094103502240917"/>
        </c:manualLayout>
      </c:layout>
      <c:lineChart>
        <c:grouping val="stacked"/>
        <c:varyColors val="0"/>
        <c:ser>
          <c:idx val="0"/>
          <c:order val="0"/>
          <c:tx>
            <c:strRef>
              <c:f>Overview!$I$7</c:f>
              <c:strCache>
                <c:ptCount val="1"/>
                <c:pt idx="0">
                  <c:v>Revenue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Overview!$J$5:$N$6</c:f>
              <c:multiLvlStrCache>
                <c:ptCount val="5"/>
                <c:lvl>
                  <c:pt idx="0">
                    <c:v>2014</c:v>
                  </c:pt>
                  <c:pt idx="1">
                    <c:v>2015</c:v>
                  </c:pt>
                  <c:pt idx="2">
                    <c:v>2016</c:v>
                  </c:pt>
                  <c:pt idx="3">
                    <c:v>2017</c:v>
                  </c:pt>
                  <c:pt idx="4">
                    <c:v>2018</c:v>
                  </c:pt>
                </c:lvl>
                <c:lvl>
                  <c:pt idx="0">
                    <c:v>Years</c:v>
                  </c:pt>
                </c:lvl>
              </c:multiLvlStrCache>
            </c:multiLvlStrRef>
          </c:cat>
          <c:val>
            <c:numRef>
              <c:f>Overview!$J$7:$N$7</c:f>
              <c:numCache>
                <c:formatCode>0.00%;\(0.00%\)</c:formatCode>
                <c:ptCount val="5"/>
                <c:pt idx="0">
                  <c:v>0</c:v>
                </c:pt>
                <c:pt idx="1">
                  <c:v>-7.5012075381789625E-2</c:v>
                </c:pt>
                <c:pt idx="2">
                  <c:v>-4.3199893399009093E-2</c:v>
                </c:pt>
                <c:pt idx="3">
                  <c:v>-9.2499548219490829E-2</c:v>
                </c:pt>
                <c:pt idx="4">
                  <c:v>-0.10063328292422634</c:v>
                </c:pt>
              </c:numCache>
            </c:numRef>
          </c:val>
          <c:smooth val="0"/>
          <c:extLst>
            <c:ext xmlns:c16="http://schemas.microsoft.com/office/drawing/2014/chart" uri="{C3380CC4-5D6E-409C-BE32-E72D297353CC}">
              <c16:uniqueId val="{00000000-81A7-4023-BA94-5C5ED869110A}"/>
            </c:ext>
          </c:extLst>
        </c:ser>
        <c:ser>
          <c:idx val="1"/>
          <c:order val="1"/>
          <c:tx>
            <c:strRef>
              <c:f>Overview!$I$8</c:f>
              <c:strCache>
                <c:ptCount val="1"/>
                <c:pt idx="0">
                  <c:v>EPS growth</c:v>
                </c:pt>
              </c:strCache>
            </c:strRef>
          </c:tx>
          <c:spPr>
            <a:ln w="28575" cap="rnd">
              <a:solidFill>
                <a:schemeClr val="tx2">
                  <a:lumMod val="75000"/>
                  <a:alpha val="98000"/>
                </a:schemeClr>
              </a:solidFill>
              <a:round/>
            </a:ln>
            <a:effectLst/>
          </c:spPr>
          <c:marker>
            <c:symbol val="circle"/>
            <c:size val="5"/>
            <c:spPr>
              <a:solidFill>
                <a:schemeClr val="accent2"/>
              </a:solidFill>
              <a:ln w="9525">
                <a:solidFill>
                  <a:schemeClr val="accent2"/>
                </a:solidFill>
              </a:ln>
              <a:effectLst/>
            </c:spPr>
          </c:marker>
          <c:cat>
            <c:multiLvlStrRef>
              <c:f>Overview!$J$5:$N$6</c:f>
              <c:multiLvlStrCache>
                <c:ptCount val="5"/>
                <c:lvl>
                  <c:pt idx="0">
                    <c:v>2014</c:v>
                  </c:pt>
                  <c:pt idx="1">
                    <c:v>2015</c:v>
                  </c:pt>
                  <c:pt idx="2">
                    <c:v>2016</c:v>
                  </c:pt>
                  <c:pt idx="3">
                    <c:v>2017</c:v>
                  </c:pt>
                  <c:pt idx="4">
                    <c:v>2018</c:v>
                  </c:pt>
                </c:lvl>
                <c:lvl>
                  <c:pt idx="0">
                    <c:v>Years</c:v>
                  </c:pt>
                </c:lvl>
              </c:multiLvlStrCache>
            </c:multiLvlStrRef>
          </c:cat>
          <c:val>
            <c:numRef>
              <c:f>Overview!$J$8:$N$8</c:f>
              <c:numCache>
                <c:formatCode>0.00%;\(0.00%\)</c:formatCode>
                <c:ptCount val="5"/>
                <c:pt idx="0">
                  <c:v>0</c:v>
                </c:pt>
                <c:pt idx="1">
                  <c:v>-3.913894324853319E-3</c:v>
                </c:pt>
                <c:pt idx="2">
                  <c:v>0.11787819253438125</c:v>
                </c:pt>
                <c:pt idx="3">
                  <c:v>0.14762741652021086</c:v>
                </c:pt>
                <c:pt idx="4">
                  <c:v>0.15467075038284836</c:v>
                </c:pt>
              </c:numCache>
            </c:numRef>
          </c:val>
          <c:smooth val="0"/>
          <c:extLst>
            <c:ext xmlns:c16="http://schemas.microsoft.com/office/drawing/2014/chart" uri="{C3380CC4-5D6E-409C-BE32-E72D297353CC}">
              <c16:uniqueId val="{00000001-81A7-4023-BA94-5C5ED869110A}"/>
            </c:ext>
          </c:extLst>
        </c:ser>
        <c:ser>
          <c:idx val="2"/>
          <c:order val="2"/>
          <c:tx>
            <c:strRef>
              <c:f>Overview!$I$9</c:f>
              <c:strCache>
                <c:ptCount val="1"/>
                <c:pt idx="0">
                  <c:v>Operating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Overview!$J$5:$N$6</c:f>
              <c:multiLvlStrCache>
                <c:ptCount val="5"/>
                <c:lvl>
                  <c:pt idx="0">
                    <c:v>2014</c:v>
                  </c:pt>
                  <c:pt idx="1">
                    <c:v>2015</c:v>
                  </c:pt>
                  <c:pt idx="2">
                    <c:v>2016</c:v>
                  </c:pt>
                  <c:pt idx="3">
                    <c:v>2017</c:v>
                  </c:pt>
                  <c:pt idx="4">
                    <c:v>2018</c:v>
                  </c:pt>
                </c:lvl>
                <c:lvl>
                  <c:pt idx="0">
                    <c:v>Years</c:v>
                  </c:pt>
                </c:lvl>
              </c:multiLvlStrCache>
            </c:multiLvlStrRef>
          </c:cat>
          <c:val>
            <c:numRef>
              <c:f>Overview!$J$9:$N$9</c:f>
              <c:numCache>
                <c:formatCode>0.00%;\(0.00%\)</c:formatCode>
                <c:ptCount val="5"/>
                <c:pt idx="0">
                  <c:v>0.28967286535258902</c:v>
                </c:pt>
                <c:pt idx="1">
                  <c:v>0.28119466414827055</c:v>
                </c:pt>
                <c:pt idx="2">
                  <c:v>0.31453705847233565</c:v>
                </c:pt>
                <c:pt idx="3">
                  <c:v>0.41860353017475599</c:v>
                </c:pt>
                <c:pt idx="4">
                  <c:v>0.41962026520556284</c:v>
                </c:pt>
              </c:numCache>
            </c:numRef>
          </c:val>
          <c:smooth val="0"/>
          <c:extLst>
            <c:ext xmlns:c16="http://schemas.microsoft.com/office/drawing/2014/chart" uri="{C3380CC4-5D6E-409C-BE32-E72D297353CC}">
              <c16:uniqueId val="{00000002-81A7-4023-BA94-5C5ED869110A}"/>
            </c:ext>
          </c:extLst>
        </c:ser>
        <c:ser>
          <c:idx val="3"/>
          <c:order val="3"/>
          <c:tx>
            <c:strRef>
              <c:f>Overview!$I$10</c:f>
              <c:strCache>
                <c:ptCount val="1"/>
                <c:pt idx="0">
                  <c:v>Net margin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Overview!$J$5:$N$6</c:f>
              <c:multiLvlStrCache>
                <c:ptCount val="5"/>
                <c:lvl>
                  <c:pt idx="0">
                    <c:v>2014</c:v>
                  </c:pt>
                  <c:pt idx="1">
                    <c:v>2015</c:v>
                  </c:pt>
                  <c:pt idx="2">
                    <c:v>2016</c:v>
                  </c:pt>
                  <c:pt idx="3">
                    <c:v>2017</c:v>
                  </c:pt>
                  <c:pt idx="4">
                    <c:v>2018</c:v>
                  </c:pt>
                </c:lvl>
                <c:lvl>
                  <c:pt idx="0">
                    <c:v>Years</c:v>
                  </c:pt>
                </c:lvl>
              </c:multiLvlStrCache>
            </c:multiLvlStrRef>
          </c:cat>
          <c:val>
            <c:numRef>
              <c:f>Overview!$J$10:$N$10</c:f>
              <c:numCache>
                <c:formatCode>0.00%;\(0.00%\)</c:formatCode>
                <c:ptCount val="5"/>
                <c:pt idx="0">
                  <c:v>0.17338828699806497</c:v>
                </c:pt>
                <c:pt idx="1">
                  <c:v>0.17821587376539566</c:v>
                </c:pt>
                <c:pt idx="2">
                  <c:v>0.19033868223004727</c:v>
                </c:pt>
                <c:pt idx="3">
                  <c:v>0.22752887767085603</c:v>
                </c:pt>
                <c:pt idx="4">
                  <c:v>0.28177139813176572</c:v>
                </c:pt>
              </c:numCache>
            </c:numRef>
          </c:val>
          <c:smooth val="0"/>
          <c:extLst>
            <c:ext xmlns:c16="http://schemas.microsoft.com/office/drawing/2014/chart" uri="{C3380CC4-5D6E-409C-BE32-E72D297353CC}">
              <c16:uniqueId val="{00000003-81A7-4023-BA94-5C5ED869110A}"/>
            </c:ext>
          </c:extLst>
        </c:ser>
        <c:dLbls>
          <c:showLegendKey val="0"/>
          <c:showVal val="0"/>
          <c:showCatName val="0"/>
          <c:showSerName val="0"/>
          <c:showPercent val="0"/>
          <c:showBubbleSize val="0"/>
        </c:dLbls>
        <c:marker val="1"/>
        <c:smooth val="0"/>
        <c:axId val="429084943"/>
        <c:axId val="429074863"/>
      </c:lineChart>
      <c:catAx>
        <c:axId val="42908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74863"/>
        <c:crosses val="autoZero"/>
        <c:auto val="1"/>
        <c:lblAlgn val="ctr"/>
        <c:lblOffset val="100"/>
        <c:noMultiLvlLbl val="0"/>
      </c:catAx>
      <c:valAx>
        <c:axId val="429074863"/>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84943"/>
        <c:crosses val="autoZero"/>
        <c:crossBetween val="between"/>
      </c:valAx>
      <c:spPr>
        <a:noFill/>
        <a:ln>
          <a:noFill/>
        </a:ln>
        <a:effectLst/>
      </c:spPr>
    </c:plotArea>
    <c:legend>
      <c:legendPos val="b"/>
      <c:layout>
        <c:manualLayout>
          <c:xMode val="edge"/>
          <c:yMode val="edge"/>
          <c:x val="6.9742641490624174E-2"/>
          <c:y val="0.8494989213387526"/>
          <c:w val="0.82703644698019774"/>
          <c:h val="0.12250108307069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Cash</a:t>
            </a:r>
            <a:r>
              <a:rPr lang="en-IN" baseline="0"/>
              <a:t> Flow Performance (2014-2018)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Ratios!$R$7</c:f>
              <c:strCache>
                <c:ptCount val="1"/>
                <c:pt idx="0">
                  <c:v>OCF/Revenue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Ratios!$S$5:$W$5</c:f>
              <c:numCache>
                <c:formatCode>General</c:formatCode>
                <c:ptCount val="5"/>
                <c:pt idx="0">
                  <c:v>2014</c:v>
                </c:pt>
                <c:pt idx="1">
                  <c:v>2015</c:v>
                </c:pt>
                <c:pt idx="2">
                  <c:v>2016</c:v>
                </c:pt>
                <c:pt idx="3">
                  <c:v>2017</c:v>
                </c:pt>
                <c:pt idx="4">
                  <c:v>2018</c:v>
                </c:pt>
              </c:numCache>
            </c:numRef>
          </c:cat>
          <c:val>
            <c:numRef>
              <c:f>Ratios!$S$7:$W$7</c:f>
              <c:numCache>
                <c:formatCode>0.00%</c:formatCode>
                <c:ptCount val="5"/>
                <c:pt idx="0">
                  <c:v>0.24533726334028466</c:v>
                </c:pt>
                <c:pt idx="1">
                  <c:v>0.2571927694177501</c:v>
                </c:pt>
                <c:pt idx="2">
                  <c:v>0.24604761929935015</c:v>
                </c:pt>
                <c:pt idx="3">
                  <c:v>0.24315516943034937</c:v>
                </c:pt>
                <c:pt idx="4">
                  <c:v>0.33134999904876061</c:v>
                </c:pt>
              </c:numCache>
            </c:numRef>
          </c:val>
          <c:smooth val="0"/>
          <c:extLst>
            <c:ext xmlns:c16="http://schemas.microsoft.com/office/drawing/2014/chart" uri="{C3380CC4-5D6E-409C-BE32-E72D297353CC}">
              <c16:uniqueId val="{00000001-849B-4F06-B9D2-39D5EDCDD55C}"/>
            </c:ext>
          </c:extLst>
        </c:ser>
        <c:dLbls>
          <c:showLegendKey val="0"/>
          <c:showVal val="0"/>
          <c:showCatName val="0"/>
          <c:showSerName val="0"/>
          <c:showPercent val="0"/>
          <c:showBubbleSize val="0"/>
        </c:dLbls>
        <c:marker val="1"/>
        <c:smooth val="0"/>
        <c:axId val="105852128"/>
        <c:axId val="105849728"/>
        <c:extLst>
          <c:ext xmlns:c15="http://schemas.microsoft.com/office/drawing/2012/chart" uri="{02D57815-91ED-43cb-92C2-25804820EDAC}">
            <c15:filteredLineSeries>
              <c15:ser>
                <c:idx val="0"/>
                <c:order val="0"/>
                <c:tx>
                  <c:strRef>
                    <c:extLst>
                      <c:ext uri="{02D57815-91ED-43cb-92C2-25804820EDAC}">
                        <c15:formulaRef>
                          <c15:sqref>Ratios!$R$6</c15:sqref>
                        </c15:formulaRef>
                      </c:ext>
                    </c:extLst>
                    <c:strCache>
                      <c:ptCount val="1"/>
                      <c:pt idx="0">
                        <c:v>Operating Cash Flow OCF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Ratios!$S$5:$W$5</c15:sqref>
                        </c15:formulaRef>
                      </c:ext>
                    </c:extLst>
                    <c:numCache>
                      <c:formatCode>General</c:formatCode>
                      <c:ptCount val="5"/>
                      <c:pt idx="0">
                        <c:v>2014</c:v>
                      </c:pt>
                      <c:pt idx="1">
                        <c:v>2015</c:v>
                      </c:pt>
                      <c:pt idx="2">
                        <c:v>2016</c:v>
                      </c:pt>
                      <c:pt idx="3">
                        <c:v>2017</c:v>
                      </c:pt>
                      <c:pt idx="4">
                        <c:v>2018</c:v>
                      </c:pt>
                    </c:numCache>
                  </c:numRef>
                </c:cat>
                <c:val>
                  <c:numRef>
                    <c:extLst>
                      <c:ext uri="{02D57815-91ED-43cb-92C2-25804820EDAC}">
                        <c15:formulaRef>
                          <c15:sqref>Ratios!$S$6:$W$6</c15:sqref>
                        </c15:formulaRef>
                      </c:ext>
                    </c:extLst>
                    <c:numCache>
                      <c:formatCode>General</c:formatCode>
                      <c:ptCount val="5"/>
                    </c:numCache>
                  </c:numRef>
                </c:val>
                <c:smooth val="0"/>
                <c:extLst>
                  <c:ext xmlns:c16="http://schemas.microsoft.com/office/drawing/2014/chart" uri="{C3380CC4-5D6E-409C-BE32-E72D297353CC}">
                    <c16:uniqueId val="{00000000-849B-4F06-B9D2-39D5EDCDD55C}"/>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Ratios!$R$8</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Ratios!$S$5:$W$5</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Ratios!$S$8:$W$8</c15:sqref>
                        </c15:formulaRef>
                      </c:ext>
                    </c:extLst>
                    <c:numCache>
                      <c:formatCode>General</c:formatCode>
                      <c:ptCount val="5"/>
                    </c:numCache>
                  </c:numRef>
                </c:val>
                <c:smooth val="0"/>
                <c:extLst xmlns:c15="http://schemas.microsoft.com/office/drawing/2012/chart">
                  <c:ext xmlns:c16="http://schemas.microsoft.com/office/drawing/2014/chart" uri="{C3380CC4-5D6E-409C-BE32-E72D297353CC}">
                    <c16:uniqueId val="{00000002-849B-4F06-B9D2-39D5EDCDD55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Ratios!$R$9</c15:sqref>
                        </c15:formulaRef>
                      </c:ext>
                    </c:extLst>
                    <c:strCache>
                      <c:ptCount val="1"/>
                      <c:pt idx="0">
                        <c:v>Free Cash Flow FCF</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xmlns:c15="http://schemas.microsoft.com/office/drawing/2012/chart">
                      <c:ext xmlns:c15="http://schemas.microsoft.com/office/drawing/2012/chart" uri="{02D57815-91ED-43cb-92C2-25804820EDAC}">
                        <c15:formulaRef>
                          <c15:sqref>Ratios!$S$5:$W$5</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Ratios!$S$9:$W$9</c15:sqref>
                        </c15:formulaRef>
                      </c:ext>
                    </c:extLst>
                    <c:numCache>
                      <c:formatCode>General</c:formatCode>
                      <c:ptCount val="5"/>
                    </c:numCache>
                  </c:numRef>
                </c:val>
                <c:smooth val="0"/>
                <c:extLst xmlns:c15="http://schemas.microsoft.com/office/drawing/2012/chart">
                  <c:ext xmlns:c16="http://schemas.microsoft.com/office/drawing/2014/chart" uri="{C3380CC4-5D6E-409C-BE32-E72D297353CC}">
                    <c16:uniqueId val="{00000003-849B-4F06-B9D2-39D5EDCDD55C}"/>
                  </c:ext>
                </c:extLst>
              </c15:ser>
            </c15:filteredLineSeries>
          </c:ext>
        </c:extLst>
      </c:lineChart>
      <c:lineChart>
        <c:grouping val="standard"/>
        <c:varyColors val="0"/>
        <c:ser>
          <c:idx val="4"/>
          <c:order val="4"/>
          <c:tx>
            <c:strRef>
              <c:f>Ratios!$R$10</c:f>
              <c:strCache>
                <c:ptCount val="1"/>
                <c:pt idx="0">
                  <c:v>OCF-CapEx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Ratios!$S$5:$W$5</c:f>
              <c:numCache>
                <c:formatCode>General</c:formatCode>
                <c:ptCount val="5"/>
                <c:pt idx="0">
                  <c:v>2014</c:v>
                </c:pt>
                <c:pt idx="1">
                  <c:v>2015</c:v>
                </c:pt>
                <c:pt idx="2">
                  <c:v>2016</c:v>
                </c:pt>
                <c:pt idx="3">
                  <c:v>2017</c:v>
                </c:pt>
                <c:pt idx="4">
                  <c:v>2018</c:v>
                </c:pt>
              </c:numCache>
            </c:numRef>
          </c:cat>
          <c:val>
            <c:numRef>
              <c:f>Ratios!$S$10:$W$10</c:f>
              <c:numCache>
                <c:formatCode>0.0</c:formatCode>
                <c:ptCount val="5"/>
                <c:pt idx="0">
                  <c:v>4588.9310999999998</c:v>
                </c:pt>
                <c:pt idx="1">
                  <c:v>5003.6690999999992</c:v>
                </c:pt>
                <c:pt idx="2">
                  <c:v>4433.4709999999995</c:v>
                </c:pt>
                <c:pt idx="3">
                  <c:v>3786.2400000000025</c:v>
                </c:pt>
                <c:pt idx="4">
                  <c:v>4225.0000000000018</c:v>
                </c:pt>
              </c:numCache>
            </c:numRef>
          </c:val>
          <c:smooth val="0"/>
          <c:extLst>
            <c:ext xmlns:c16="http://schemas.microsoft.com/office/drawing/2014/chart" uri="{C3380CC4-5D6E-409C-BE32-E72D297353CC}">
              <c16:uniqueId val="{00000004-849B-4F06-B9D2-39D5EDCDD55C}"/>
            </c:ext>
          </c:extLst>
        </c:ser>
        <c:dLbls>
          <c:showLegendKey val="0"/>
          <c:showVal val="0"/>
          <c:showCatName val="0"/>
          <c:showSerName val="0"/>
          <c:showPercent val="0"/>
          <c:showBubbleSize val="0"/>
        </c:dLbls>
        <c:marker val="1"/>
        <c:smooth val="0"/>
        <c:axId val="1959492528"/>
        <c:axId val="1959493488"/>
      </c:lineChart>
      <c:catAx>
        <c:axId val="10585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9728"/>
        <c:crosses val="autoZero"/>
        <c:auto val="1"/>
        <c:lblAlgn val="ctr"/>
        <c:lblOffset val="100"/>
        <c:noMultiLvlLbl val="0"/>
      </c:catAx>
      <c:valAx>
        <c:axId val="105849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2128"/>
        <c:crosses val="autoZero"/>
        <c:crossBetween val="between"/>
      </c:valAx>
      <c:valAx>
        <c:axId val="195949348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92528"/>
        <c:crosses val="max"/>
        <c:crossBetween val="between"/>
      </c:valAx>
      <c:catAx>
        <c:axId val="1959492528"/>
        <c:scaling>
          <c:orientation val="minMax"/>
        </c:scaling>
        <c:delete val="1"/>
        <c:axPos val="b"/>
        <c:numFmt formatCode="General" sourceLinked="1"/>
        <c:majorTickMark val="out"/>
        <c:minorTickMark val="none"/>
        <c:tickLblPos val="nextTo"/>
        <c:crossAx val="19594934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Key</a:t>
            </a:r>
            <a:r>
              <a:rPr lang="en-IN" baseline="0"/>
              <a:t> Ratios Trends (2014-2018)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cked"/>
        <c:varyColors val="0"/>
        <c:ser>
          <c:idx val="0"/>
          <c:order val="0"/>
          <c:tx>
            <c:strRef>
              <c:f>Ratios!$J$7</c:f>
              <c:strCache>
                <c:ptCount val="1"/>
                <c:pt idx="0">
                  <c:v>Return on Assets (ROA)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Ratios!$K$5:$O$6</c:f>
              <c:multiLvlStrCache>
                <c:ptCount val="5"/>
                <c:lvl>
                  <c:pt idx="0">
                    <c:v>2014</c:v>
                  </c:pt>
                  <c:pt idx="1">
                    <c:v>2015</c:v>
                  </c:pt>
                  <c:pt idx="2">
                    <c:v>2016</c:v>
                  </c:pt>
                  <c:pt idx="3">
                    <c:v>2017</c:v>
                  </c:pt>
                  <c:pt idx="4">
                    <c:v>2018</c:v>
                  </c:pt>
                </c:lvl>
                <c:lvl>
                  <c:pt idx="0">
                    <c:v>Year</c:v>
                  </c:pt>
                </c:lvl>
              </c:multiLvlStrCache>
            </c:multiLvlStrRef>
          </c:cat>
          <c:val>
            <c:numRef>
              <c:f>Ratios!$K$7:$O$7</c:f>
              <c:numCache>
                <c:formatCode>0.00%</c:formatCode>
                <c:ptCount val="5"/>
                <c:pt idx="0">
                  <c:v>0.16313522580475609</c:v>
                </c:pt>
                <c:pt idx="1">
                  <c:v>0.14745470585217918</c:v>
                </c:pt>
                <c:pt idx="2">
                  <c:v>0.18256140364046847</c:v>
                </c:pt>
                <c:pt idx="3">
                  <c:v>0.1711484014693658</c:v>
                </c:pt>
                <c:pt idx="4" formatCode="0.0%">
                  <c:v>0.18054810552494271</c:v>
                </c:pt>
              </c:numCache>
            </c:numRef>
          </c:val>
          <c:smooth val="0"/>
          <c:extLst>
            <c:ext xmlns:c16="http://schemas.microsoft.com/office/drawing/2014/chart" uri="{C3380CC4-5D6E-409C-BE32-E72D297353CC}">
              <c16:uniqueId val="{00000000-2389-435E-8685-781DD850A6DA}"/>
            </c:ext>
          </c:extLst>
        </c:ser>
        <c:ser>
          <c:idx val="1"/>
          <c:order val="1"/>
          <c:tx>
            <c:strRef>
              <c:f>Ratios!$J$8</c:f>
              <c:strCache>
                <c:ptCount val="1"/>
                <c:pt idx="0">
                  <c:v>Debt to Asset ratio (D/A)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Ratios!$K$5:$O$6</c:f>
              <c:multiLvlStrCache>
                <c:ptCount val="5"/>
                <c:lvl>
                  <c:pt idx="0">
                    <c:v>2014</c:v>
                  </c:pt>
                  <c:pt idx="1">
                    <c:v>2015</c:v>
                  </c:pt>
                  <c:pt idx="2">
                    <c:v>2016</c:v>
                  </c:pt>
                  <c:pt idx="3">
                    <c:v>2017</c:v>
                  </c:pt>
                  <c:pt idx="4">
                    <c:v>2018</c:v>
                  </c:pt>
                </c:lvl>
                <c:lvl>
                  <c:pt idx="0">
                    <c:v>Year</c:v>
                  </c:pt>
                </c:lvl>
              </c:multiLvlStrCache>
            </c:multiLvlStrRef>
          </c:cat>
          <c:val>
            <c:numRef>
              <c:f>Ratios!$K$8:$O$8</c:f>
              <c:numCache>
                <c:formatCode>0.00%</c:formatCode>
                <c:ptCount val="5"/>
                <c:pt idx="0">
                  <c:v>0.49672484617587082</c:v>
                </c:pt>
                <c:pt idx="1">
                  <c:v>0.69048491382150667</c:v>
                </c:pt>
                <c:pt idx="2">
                  <c:v>0.90068624512069717</c:v>
                </c:pt>
                <c:pt idx="3">
                  <c:v>0.90791244745397692</c:v>
                </c:pt>
                <c:pt idx="4" formatCode="0.0%">
                  <c:v>0.98050665626371492</c:v>
                </c:pt>
              </c:numCache>
            </c:numRef>
          </c:val>
          <c:smooth val="0"/>
          <c:extLst>
            <c:ext xmlns:c16="http://schemas.microsoft.com/office/drawing/2014/chart" uri="{C3380CC4-5D6E-409C-BE32-E72D297353CC}">
              <c16:uniqueId val="{00000001-2389-435E-8685-781DD850A6DA}"/>
            </c:ext>
          </c:extLst>
        </c:ser>
        <c:ser>
          <c:idx val="2"/>
          <c:order val="2"/>
          <c:tx>
            <c:strRef>
              <c:f>Ratios!$J$9</c:f>
              <c:strCache>
                <c:ptCount val="1"/>
                <c:pt idx="0">
                  <c:v>Current Ratio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Ratios!$K$5:$O$6</c:f>
              <c:multiLvlStrCache>
                <c:ptCount val="5"/>
                <c:lvl>
                  <c:pt idx="0">
                    <c:v>2014</c:v>
                  </c:pt>
                  <c:pt idx="1">
                    <c:v>2015</c:v>
                  </c:pt>
                  <c:pt idx="2">
                    <c:v>2016</c:v>
                  </c:pt>
                  <c:pt idx="3">
                    <c:v>2017</c:v>
                  </c:pt>
                  <c:pt idx="4">
                    <c:v>2018</c:v>
                  </c:pt>
                </c:lvl>
                <c:lvl>
                  <c:pt idx="0">
                    <c:v>Year</c:v>
                  </c:pt>
                </c:lvl>
              </c:multiLvlStrCache>
            </c:multiLvlStrRef>
          </c:cat>
          <c:val>
            <c:numRef>
              <c:f>Ratios!$K$9:$O$9</c:f>
              <c:numCache>
                <c:formatCode>0.00%</c:formatCode>
                <c:ptCount val="5"/>
                <c:pt idx="0">
                  <c:v>1.5231631427635648</c:v>
                </c:pt>
                <c:pt idx="1">
                  <c:v>3.2683703904555323</c:v>
                </c:pt>
                <c:pt idx="2">
                  <c:v>1.3979759536372287</c:v>
                </c:pt>
                <c:pt idx="3">
                  <c:v>1.8429391821767105</c:v>
                </c:pt>
                <c:pt idx="4" formatCode="0.0%">
                  <c:v>1.3631074491340172</c:v>
                </c:pt>
              </c:numCache>
            </c:numRef>
          </c:val>
          <c:smooth val="0"/>
          <c:extLst>
            <c:ext xmlns:c16="http://schemas.microsoft.com/office/drawing/2014/chart" uri="{C3380CC4-5D6E-409C-BE32-E72D297353CC}">
              <c16:uniqueId val="{00000002-2389-435E-8685-781DD850A6DA}"/>
            </c:ext>
          </c:extLst>
        </c:ser>
        <c:dLbls>
          <c:showLegendKey val="0"/>
          <c:showVal val="0"/>
          <c:showCatName val="0"/>
          <c:showSerName val="0"/>
          <c:showPercent val="0"/>
          <c:showBubbleSize val="0"/>
        </c:dLbls>
        <c:marker val="1"/>
        <c:smooth val="0"/>
        <c:axId val="1659896848"/>
        <c:axId val="1659902608"/>
      </c:lineChart>
      <c:catAx>
        <c:axId val="165989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2608"/>
        <c:crosses val="autoZero"/>
        <c:auto val="1"/>
        <c:lblAlgn val="ctr"/>
        <c:lblOffset val="100"/>
        <c:noMultiLvlLbl val="0"/>
      </c:catAx>
      <c:valAx>
        <c:axId val="1659902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6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Liquidity</a:t>
            </a:r>
            <a:r>
              <a:rPr lang="en-IN" baseline="0"/>
              <a:t> and Solvency (2014-2018)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cked"/>
        <c:varyColors val="0"/>
        <c:ser>
          <c:idx val="1"/>
          <c:order val="1"/>
          <c:tx>
            <c:strRef>
              <c:f>Ratios!$B$52</c:f>
              <c:strCache>
                <c:ptCount val="1"/>
                <c:pt idx="0">
                  <c:v>OCF/Total debt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Ratios!$C$50:$G$50</c:f>
              <c:numCache>
                <c:formatCode>General</c:formatCode>
                <c:ptCount val="5"/>
                <c:pt idx="0">
                  <c:v>2014</c:v>
                </c:pt>
                <c:pt idx="1">
                  <c:v>2015</c:v>
                </c:pt>
                <c:pt idx="2">
                  <c:v>2016</c:v>
                </c:pt>
                <c:pt idx="3">
                  <c:v>2017</c:v>
                </c:pt>
                <c:pt idx="4">
                  <c:v>2018</c:v>
                </c:pt>
              </c:numCache>
            </c:numRef>
          </c:cat>
          <c:val>
            <c:numRef>
              <c:f>Ratios!$C$52:$G$52</c:f>
              <c:numCache>
                <c:formatCode>0.00%;\(0.00%\)</c:formatCode>
                <c:ptCount val="5"/>
                <c:pt idx="0">
                  <c:v>0.40634410878976096</c:v>
                </c:pt>
                <c:pt idx="1">
                  <c:v>0.24960967472257325</c:v>
                </c:pt>
                <c:pt idx="2">
                  <c:v>0.21685729418669566</c:v>
                </c:pt>
                <c:pt idx="3">
                  <c:v>0.18087505050373409</c:v>
                </c:pt>
                <c:pt idx="4">
                  <c:v>0.21654813562272321</c:v>
                </c:pt>
              </c:numCache>
            </c:numRef>
          </c:val>
          <c:smooth val="0"/>
          <c:extLst>
            <c:ext xmlns:c16="http://schemas.microsoft.com/office/drawing/2014/chart" uri="{C3380CC4-5D6E-409C-BE32-E72D297353CC}">
              <c16:uniqueId val="{00000001-41F8-43F7-9ADF-0D0D9B8DB3AE}"/>
            </c:ext>
          </c:extLst>
        </c:ser>
        <c:ser>
          <c:idx val="7"/>
          <c:order val="7"/>
          <c:tx>
            <c:strRef>
              <c:f>Ratios!$B$58</c:f>
              <c:strCache>
                <c:ptCount val="1"/>
                <c:pt idx="0">
                  <c:v>Capex/OCF</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Ratios!$C$50:$G$50</c:f>
              <c:numCache>
                <c:formatCode>General</c:formatCode>
                <c:ptCount val="5"/>
                <c:pt idx="0">
                  <c:v>2014</c:v>
                </c:pt>
                <c:pt idx="1">
                  <c:v>2015</c:v>
                </c:pt>
                <c:pt idx="2">
                  <c:v>2016</c:v>
                </c:pt>
                <c:pt idx="3">
                  <c:v>2017</c:v>
                </c:pt>
                <c:pt idx="4">
                  <c:v>2018</c:v>
                </c:pt>
              </c:numCache>
            </c:numRef>
          </c:cat>
          <c:val>
            <c:numRef>
              <c:f>Ratios!$C$58:$G$58</c:f>
              <c:numCache>
                <c:formatCode>0.00%;\(0.00%\)</c:formatCode>
                <c:ptCount val="5"/>
                <c:pt idx="0">
                  <c:v>-0.37394514004487228</c:v>
                </c:pt>
                <c:pt idx="1">
                  <c:v>-0.27740564017862607</c:v>
                </c:pt>
                <c:pt idx="2">
                  <c:v>-0.30053138821044295</c:v>
                </c:pt>
                <c:pt idx="3">
                  <c:v>-0.33392779939472533</c:v>
                </c:pt>
                <c:pt idx="4">
                  <c:v>-0.39354357156185843</c:v>
                </c:pt>
              </c:numCache>
            </c:numRef>
          </c:val>
          <c:smooth val="0"/>
          <c:extLst>
            <c:ext xmlns:c16="http://schemas.microsoft.com/office/drawing/2014/chart" uri="{C3380CC4-5D6E-409C-BE32-E72D297353CC}">
              <c16:uniqueId val="{00000007-41F8-43F7-9ADF-0D0D9B8DB3AE}"/>
            </c:ext>
          </c:extLst>
        </c:ser>
        <c:dLbls>
          <c:showLegendKey val="0"/>
          <c:showVal val="0"/>
          <c:showCatName val="0"/>
          <c:showSerName val="0"/>
          <c:showPercent val="0"/>
          <c:showBubbleSize val="0"/>
        </c:dLbls>
        <c:marker val="1"/>
        <c:smooth val="0"/>
        <c:axId val="1658972656"/>
        <c:axId val="1658973136"/>
        <c:extLst>
          <c:ext xmlns:c15="http://schemas.microsoft.com/office/drawing/2012/chart" uri="{02D57815-91ED-43cb-92C2-25804820EDAC}">
            <c15:filteredLineSeries>
              <c15:ser>
                <c:idx val="0"/>
                <c:order val="0"/>
                <c:tx>
                  <c:strRef>
                    <c:extLst>
                      <c:ext uri="{02D57815-91ED-43cb-92C2-25804820EDAC}">
                        <c15:formulaRef>
                          <c15:sqref>Ratios!$B$51</c15:sqref>
                        </c15:formulaRef>
                      </c:ext>
                    </c:extLst>
                    <c:strCache>
                      <c:ptCount val="1"/>
                      <c:pt idx="0">
                        <c:v>Cash Flow to Debt ratio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Ratios!$C$50:$G$50</c15:sqref>
                        </c15:formulaRef>
                      </c:ext>
                    </c:extLst>
                    <c:numCache>
                      <c:formatCode>General</c:formatCode>
                      <c:ptCount val="5"/>
                      <c:pt idx="0">
                        <c:v>2014</c:v>
                      </c:pt>
                      <c:pt idx="1">
                        <c:v>2015</c:v>
                      </c:pt>
                      <c:pt idx="2">
                        <c:v>2016</c:v>
                      </c:pt>
                      <c:pt idx="3">
                        <c:v>2017</c:v>
                      </c:pt>
                      <c:pt idx="4">
                        <c:v>2018</c:v>
                      </c:pt>
                    </c:numCache>
                  </c:numRef>
                </c:cat>
                <c:val>
                  <c:numRef>
                    <c:extLst>
                      <c:ext uri="{02D57815-91ED-43cb-92C2-25804820EDAC}">
                        <c15:formulaRef>
                          <c15:sqref>Ratios!$C$51:$G$51</c15:sqref>
                        </c15:formulaRef>
                      </c:ext>
                    </c:extLst>
                    <c:numCache>
                      <c:formatCode>General</c:formatCode>
                      <c:ptCount val="5"/>
                    </c:numCache>
                  </c:numRef>
                </c:val>
                <c:smooth val="0"/>
                <c:extLst>
                  <c:ext xmlns:c16="http://schemas.microsoft.com/office/drawing/2014/chart" uri="{C3380CC4-5D6E-409C-BE32-E72D297353CC}">
                    <c16:uniqueId val="{00000000-41F8-43F7-9ADF-0D0D9B8DB3AE}"/>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Ratios!$B$53</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Ratios!$C$50:$G$50</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Ratios!$C$53:$G$53</c15:sqref>
                        </c15:formulaRef>
                      </c:ext>
                    </c:extLst>
                    <c:numCache>
                      <c:formatCode>0.00%;\(0.00%\)</c:formatCode>
                      <c:ptCount val="5"/>
                    </c:numCache>
                  </c:numRef>
                </c:val>
                <c:smooth val="0"/>
                <c:extLst xmlns:c15="http://schemas.microsoft.com/office/drawing/2012/chart">
                  <c:ext xmlns:c16="http://schemas.microsoft.com/office/drawing/2014/chart" uri="{C3380CC4-5D6E-409C-BE32-E72D297353CC}">
                    <c16:uniqueId val="{00000002-41F8-43F7-9ADF-0D0D9B8DB3AE}"/>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Ratios!$B$54</c15:sqref>
                        </c15:formulaRef>
                      </c:ext>
                    </c:extLst>
                    <c:strCache>
                      <c:ptCount val="1"/>
                      <c:pt idx="0">
                        <c:v>Cash Flow Coverage ratio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xmlns:c15="http://schemas.microsoft.com/office/drawing/2012/chart">
                      <c:ext xmlns:c15="http://schemas.microsoft.com/office/drawing/2012/chart" uri="{02D57815-91ED-43cb-92C2-25804820EDAC}">
                        <c15:formulaRef>
                          <c15:sqref>Ratios!$C$50:$G$50</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Ratios!$C$54:$G$54</c15:sqref>
                        </c15:formulaRef>
                      </c:ext>
                    </c:extLst>
                    <c:numCache>
                      <c:formatCode>0.00%;\(0.00%\)</c:formatCode>
                      <c:ptCount val="5"/>
                    </c:numCache>
                  </c:numRef>
                </c:val>
                <c:smooth val="0"/>
                <c:extLst xmlns:c15="http://schemas.microsoft.com/office/drawing/2012/chart">
                  <c:ext xmlns:c16="http://schemas.microsoft.com/office/drawing/2014/chart" uri="{C3380CC4-5D6E-409C-BE32-E72D297353CC}">
                    <c16:uniqueId val="{00000003-41F8-43F7-9ADF-0D0D9B8DB3AE}"/>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Ratios!$B$56</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Ratios!$C$50:$G$50</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Ratios!$C$56:$G$56</c15:sqref>
                        </c15:formulaRef>
                      </c:ext>
                    </c:extLst>
                    <c:numCache>
                      <c:formatCode>0.00%;\(0.00%\)</c:formatCode>
                      <c:ptCount val="5"/>
                    </c:numCache>
                  </c:numRef>
                </c:val>
                <c:smooth val="0"/>
                <c:extLst xmlns:c15="http://schemas.microsoft.com/office/drawing/2012/chart">
                  <c:ext xmlns:c16="http://schemas.microsoft.com/office/drawing/2014/chart" uri="{C3380CC4-5D6E-409C-BE32-E72D297353CC}">
                    <c16:uniqueId val="{00000005-41F8-43F7-9ADF-0D0D9B8DB3AE}"/>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Ratios!$B$57</c15:sqref>
                        </c15:formulaRef>
                      </c:ext>
                    </c:extLst>
                    <c:strCache>
                      <c:ptCount val="1"/>
                      <c:pt idx="0">
                        <c:v>Capex to OCF ratio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extLst xmlns:c15="http://schemas.microsoft.com/office/drawing/2012/chart">
                      <c:ext xmlns:c15="http://schemas.microsoft.com/office/drawing/2012/chart" uri="{02D57815-91ED-43cb-92C2-25804820EDAC}">
                        <c15:formulaRef>
                          <c15:sqref>Ratios!$C$50:$G$50</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Ratios!$C$57:$G$57</c15:sqref>
                        </c15:formulaRef>
                      </c:ext>
                    </c:extLst>
                    <c:numCache>
                      <c:formatCode>0.00%;\(0.00%\)</c:formatCode>
                      <c:ptCount val="5"/>
                    </c:numCache>
                  </c:numRef>
                </c:val>
                <c:smooth val="0"/>
                <c:extLst xmlns:c15="http://schemas.microsoft.com/office/drawing/2012/chart">
                  <c:ext xmlns:c16="http://schemas.microsoft.com/office/drawing/2014/chart" uri="{C3380CC4-5D6E-409C-BE32-E72D297353CC}">
                    <c16:uniqueId val="{00000006-41F8-43F7-9ADF-0D0D9B8DB3AE}"/>
                  </c:ext>
                </c:extLst>
              </c15:ser>
            </c15:filteredLineSeries>
          </c:ext>
        </c:extLst>
      </c:lineChart>
      <c:lineChart>
        <c:grouping val="stacked"/>
        <c:varyColors val="0"/>
        <c:ser>
          <c:idx val="4"/>
          <c:order val="4"/>
          <c:tx>
            <c:strRef>
              <c:f>Ratios!$B$55</c:f>
              <c:strCache>
                <c:ptCount val="1"/>
                <c:pt idx="0">
                  <c:v>OCF/ Interest paid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Ratios!$C$50:$G$50</c:f>
              <c:numCache>
                <c:formatCode>General</c:formatCode>
                <c:ptCount val="5"/>
                <c:pt idx="0">
                  <c:v>2014</c:v>
                </c:pt>
                <c:pt idx="1">
                  <c:v>2015</c:v>
                </c:pt>
                <c:pt idx="2">
                  <c:v>2016</c:v>
                </c:pt>
                <c:pt idx="3">
                  <c:v>2017</c:v>
                </c:pt>
                <c:pt idx="4">
                  <c:v>2018</c:v>
                </c:pt>
              </c:numCache>
            </c:numRef>
          </c:cat>
          <c:val>
            <c:numRef>
              <c:f>Ratios!$C$55:$G$55</c:f>
              <c:numCache>
                <c:formatCode>0.00%;\(0.00%\)</c:formatCode>
                <c:ptCount val="5"/>
                <c:pt idx="0">
                  <c:v>12.052512212142357</c:v>
                </c:pt>
                <c:pt idx="1">
                  <c:v>10.204119850187267</c:v>
                </c:pt>
                <c:pt idx="2">
                  <c:v>6.9371493989696615</c:v>
                </c:pt>
                <c:pt idx="3">
                  <c:v>6.2711251694532333</c:v>
                </c:pt>
                <c:pt idx="4">
                  <c:v>7.260004168403503</c:v>
                </c:pt>
              </c:numCache>
            </c:numRef>
          </c:val>
          <c:smooth val="0"/>
          <c:extLst>
            <c:ext xmlns:c16="http://schemas.microsoft.com/office/drawing/2014/chart" uri="{C3380CC4-5D6E-409C-BE32-E72D297353CC}">
              <c16:uniqueId val="{00000004-41F8-43F7-9ADF-0D0D9B8DB3AE}"/>
            </c:ext>
          </c:extLst>
        </c:ser>
        <c:dLbls>
          <c:showLegendKey val="0"/>
          <c:showVal val="0"/>
          <c:showCatName val="0"/>
          <c:showSerName val="0"/>
          <c:showPercent val="0"/>
          <c:showBubbleSize val="0"/>
        </c:dLbls>
        <c:marker val="1"/>
        <c:smooth val="0"/>
        <c:axId val="204755440"/>
        <c:axId val="204757360"/>
      </c:lineChart>
      <c:catAx>
        <c:axId val="16589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73136"/>
        <c:crosses val="autoZero"/>
        <c:auto val="1"/>
        <c:lblAlgn val="ctr"/>
        <c:lblOffset val="100"/>
        <c:noMultiLvlLbl val="0"/>
      </c:catAx>
      <c:valAx>
        <c:axId val="165897313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72656"/>
        <c:crosses val="autoZero"/>
        <c:crossBetween val="between"/>
      </c:valAx>
      <c:valAx>
        <c:axId val="204757360"/>
        <c:scaling>
          <c:orientation val="minMax"/>
        </c:scaling>
        <c:delete val="0"/>
        <c:axPos val="r"/>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55440"/>
        <c:crosses val="max"/>
        <c:crossBetween val="between"/>
      </c:valAx>
      <c:catAx>
        <c:axId val="204755440"/>
        <c:scaling>
          <c:orientation val="minMax"/>
        </c:scaling>
        <c:delete val="1"/>
        <c:axPos val="b"/>
        <c:numFmt formatCode="General" sourceLinked="1"/>
        <c:majorTickMark val="out"/>
        <c:minorTickMark val="none"/>
        <c:tickLblPos val="nextTo"/>
        <c:crossAx val="204757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Quality</a:t>
            </a:r>
            <a:r>
              <a:rPr lang="en-US" baseline="0"/>
              <a:t> of earnings (2014-2018)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2"/>
          <c:order val="2"/>
          <c:tx>
            <c:strRef>
              <c:f>Ratios!$J$53</c:f>
              <c:strCache>
                <c:ptCount val="1"/>
                <c:pt idx="0">
                  <c:v>OCF/Net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Ratios!$K$51:$O$51</c:f>
              <c:numCache>
                <c:formatCode>General</c:formatCode>
                <c:ptCount val="5"/>
                <c:pt idx="0">
                  <c:v>2014</c:v>
                </c:pt>
                <c:pt idx="1">
                  <c:v>2015</c:v>
                </c:pt>
                <c:pt idx="2">
                  <c:v>2016</c:v>
                </c:pt>
                <c:pt idx="3">
                  <c:v>2017</c:v>
                </c:pt>
                <c:pt idx="4">
                  <c:v>2018</c:v>
                </c:pt>
              </c:numCache>
            </c:numRef>
          </c:cat>
          <c:val>
            <c:numRef>
              <c:f>Ratios!$K$53:$O$53</c:f>
              <c:numCache>
                <c:formatCode>0.00%</c:formatCode>
                <c:ptCount val="5"/>
                <c:pt idx="0">
                  <c:v>1.237263220971254</c:v>
                </c:pt>
                <c:pt idx="1">
                  <c:v>1.1688451293823741</c:v>
                </c:pt>
                <c:pt idx="2">
                  <c:v>1.0698886957108855</c:v>
                </c:pt>
                <c:pt idx="3">
                  <c:v>0.95951062572793444</c:v>
                </c:pt>
                <c:pt idx="4">
                  <c:v>1.1759532771804266</c:v>
                </c:pt>
              </c:numCache>
            </c:numRef>
          </c:val>
          <c:smooth val="0"/>
          <c:extLst>
            <c:ext xmlns:c16="http://schemas.microsoft.com/office/drawing/2014/chart" uri="{C3380CC4-5D6E-409C-BE32-E72D297353CC}">
              <c16:uniqueId val="{00000004-13C9-4EBB-80EF-6865D67D0FE9}"/>
            </c:ext>
          </c:extLst>
        </c:ser>
        <c:dLbls>
          <c:showLegendKey val="0"/>
          <c:showVal val="0"/>
          <c:showCatName val="0"/>
          <c:showSerName val="0"/>
          <c:showPercent val="0"/>
          <c:showBubbleSize val="0"/>
        </c:dLbls>
        <c:marker val="1"/>
        <c:smooth val="0"/>
        <c:axId val="1658972656"/>
        <c:axId val="1658973136"/>
        <c:extLst>
          <c:ext xmlns:c15="http://schemas.microsoft.com/office/drawing/2012/chart" uri="{02D57815-91ED-43cb-92C2-25804820EDAC}">
            <c15:filteredLineSeries>
              <c15:ser>
                <c:idx val="0"/>
                <c:order val="0"/>
                <c:tx>
                  <c:strRef>
                    <c:extLst>
                      <c:ext uri="{02D57815-91ED-43cb-92C2-25804820EDAC}">
                        <c15:formulaRef>
                          <c15:sqref>Ratios!$J$51</c15:sqref>
                        </c15:formulaRef>
                      </c:ext>
                    </c:extLst>
                    <c:strCache>
                      <c:ptCount val="1"/>
                      <c:pt idx="0">
                        <c:v>Years: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Ratios!$K$51:$O$51</c15:sqref>
                        </c15:formulaRef>
                      </c:ext>
                    </c:extLst>
                    <c:numCache>
                      <c:formatCode>General</c:formatCode>
                      <c:ptCount val="5"/>
                      <c:pt idx="0">
                        <c:v>2014</c:v>
                      </c:pt>
                      <c:pt idx="1">
                        <c:v>2015</c:v>
                      </c:pt>
                      <c:pt idx="2">
                        <c:v>2016</c:v>
                      </c:pt>
                      <c:pt idx="3">
                        <c:v>2017</c:v>
                      </c:pt>
                      <c:pt idx="4">
                        <c:v>2018</c:v>
                      </c:pt>
                    </c:numCache>
                  </c:numRef>
                </c:cat>
                <c:val>
                  <c:numRef>
                    <c:extLst>
                      <c:ext uri="{02D57815-91ED-43cb-92C2-25804820EDAC}">
                        <c15:formulaRef>
                          <c15:sqref>Ratios!$K$51:$O$51</c15:sqref>
                        </c15:formulaRef>
                      </c:ext>
                    </c:extLst>
                    <c:numCache>
                      <c:formatCode>General</c:formatCode>
                      <c:ptCount val="5"/>
                      <c:pt idx="0">
                        <c:v>2014</c:v>
                      </c:pt>
                      <c:pt idx="1">
                        <c:v>2015</c:v>
                      </c:pt>
                      <c:pt idx="2">
                        <c:v>2016</c:v>
                      </c:pt>
                      <c:pt idx="3">
                        <c:v>2017</c:v>
                      </c:pt>
                      <c:pt idx="4">
                        <c:v>2018</c:v>
                      </c:pt>
                    </c:numCache>
                  </c:numRef>
                </c:val>
                <c:smooth val="0"/>
                <c:extLst>
                  <c:ext xmlns:c16="http://schemas.microsoft.com/office/drawing/2014/chart" uri="{C3380CC4-5D6E-409C-BE32-E72D297353CC}">
                    <c16:uniqueId val="{00000003-13C9-4EBB-80EF-6865D67D0FE9}"/>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Ratios!$J$52</c15:sqref>
                        </c15:formulaRef>
                      </c:ext>
                    </c:extLst>
                    <c:strCache>
                      <c:ptCount val="1"/>
                      <c:pt idx="0">
                        <c:v>Quality of earning ratio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Ratios!$K$51:$O$51</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Ratios!$K$52:$O$52</c15:sqref>
                        </c15:formulaRef>
                      </c:ext>
                    </c:extLst>
                    <c:numCache>
                      <c:formatCode>General</c:formatCode>
                      <c:ptCount val="5"/>
                    </c:numCache>
                  </c:numRef>
                </c:val>
                <c:smooth val="0"/>
                <c:extLst xmlns:c15="http://schemas.microsoft.com/office/drawing/2012/chart">
                  <c:ext xmlns:c16="http://schemas.microsoft.com/office/drawing/2014/chart" uri="{C3380CC4-5D6E-409C-BE32-E72D297353CC}">
                    <c16:uniqueId val="{00000000-13C9-4EBB-80EF-6865D67D0FE9}"/>
                  </c:ext>
                </c:extLst>
              </c15:ser>
            </c15:filteredLineSeries>
          </c:ext>
        </c:extLst>
      </c:lineChart>
      <c:catAx>
        <c:axId val="16589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73136"/>
        <c:crosses val="autoZero"/>
        <c:auto val="1"/>
        <c:lblAlgn val="ctr"/>
        <c:lblOffset val="100"/>
        <c:noMultiLvlLbl val="0"/>
      </c:catAx>
      <c:valAx>
        <c:axId val="1658973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7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Return</a:t>
            </a:r>
            <a:r>
              <a:rPr lang="en-IN" baseline="0"/>
              <a:t> Ratios (2014-2018)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cked"/>
        <c:varyColors val="0"/>
        <c:ser>
          <c:idx val="1"/>
          <c:order val="1"/>
          <c:tx>
            <c:strRef>
              <c:f>Ratios!$R$53</c:f>
              <c:strCache>
                <c:ptCount val="1"/>
                <c:pt idx="0">
                  <c:v>OCF/Total assets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Ratios!$S$51:$W$51</c:f>
              <c:numCache>
                <c:formatCode>General</c:formatCode>
                <c:ptCount val="5"/>
                <c:pt idx="0">
                  <c:v>2014</c:v>
                </c:pt>
                <c:pt idx="1">
                  <c:v>2015</c:v>
                </c:pt>
                <c:pt idx="2">
                  <c:v>2016</c:v>
                </c:pt>
                <c:pt idx="3">
                  <c:v>2017</c:v>
                </c:pt>
                <c:pt idx="4">
                  <c:v>2018</c:v>
                </c:pt>
              </c:numCache>
            </c:numRef>
          </c:cat>
          <c:val>
            <c:numRef>
              <c:f>Ratios!$S$53:$W$53</c:f>
              <c:numCache>
                <c:formatCode>0.00%;\(0.00%\)</c:formatCode>
                <c:ptCount val="5"/>
                <c:pt idx="0">
                  <c:v>0.20184121493306534</c:v>
                </c:pt>
                <c:pt idx="1">
                  <c:v>0.1723517147398303</c:v>
                </c:pt>
                <c:pt idx="2">
                  <c:v>0.19532038202804933</c:v>
                </c:pt>
                <c:pt idx="3">
                  <c:v>0.1642187097862069</c:v>
                </c:pt>
                <c:pt idx="4">
                  <c:v>0.21232688837957778</c:v>
                </c:pt>
              </c:numCache>
            </c:numRef>
          </c:val>
          <c:smooth val="0"/>
          <c:extLst>
            <c:ext xmlns:c16="http://schemas.microsoft.com/office/drawing/2014/chart" uri="{C3380CC4-5D6E-409C-BE32-E72D297353CC}">
              <c16:uniqueId val="{00000001-A7D7-4A94-99CA-73EADEB54E06}"/>
            </c:ext>
          </c:extLst>
        </c:ser>
        <c:dLbls>
          <c:showLegendKey val="0"/>
          <c:showVal val="0"/>
          <c:showCatName val="0"/>
          <c:showSerName val="0"/>
          <c:showPercent val="0"/>
          <c:showBubbleSize val="0"/>
        </c:dLbls>
        <c:marker val="1"/>
        <c:smooth val="0"/>
        <c:axId val="203201984"/>
        <c:axId val="203199104"/>
        <c:extLst>
          <c:ext xmlns:c15="http://schemas.microsoft.com/office/drawing/2012/chart" uri="{02D57815-91ED-43cb-92C2-25804820EDAC}">
            <c15:filteredLineSeries>
              <c15:ser>
                <c:idx val="0"/>
                <c:order val="0"/>
                <c:tx>
                  <c:strRef>
                    <c:extLst>
                      <c:ext uri="{02D57815-91ED-43cb-92C2-25804820EDAC}">
                        <c15:formulaRef>
                          <c15:sqref>Ratios!$R$52</c15:sqref>
                        </c15:formulaRef>
                      </c:ext>
                    </c:extLst>
                    <c:strCache>
                      <c:ptCount val="1"/>
                      <c:pt idx="0">
                        <c:v>Cash Return on Equity (CROA)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Ratios!$S$51:$W$51</c15:sqref>
                        </c15:formulaRef>
                      </c:ext>
                    </c:extLst>
                    <c:numCache>
                      <c:formatCode>General</c:formatCode>
                      <c:ptCount val="5"/>
                      <c:pt idx="0">
                        <c:v>2014</c:v>
                      </c:pt>
                      <c:pt idx="1">
                        <c:v>2015</c:v>
                      </c:pt>
                      <c:pt idx="2">
                        <c:v>2016</c:v>
                      </c:pt>
                      <c:pt idx="3">
                        <c:v>2017</c:v>
                      </c:pt>
                      <c:pt idx="4">
                        <c:v>2018</c:v>
                      </c:pt>
                    </c:numCache>
                  </c:numRef>
                </c:cat>
                <c:val>
                  <c:numRef>
                    <c:extLst>
                      <c:ext uri="{02D57815-91ED-43cb-92C2-25804820EDAC}">
                        <c15:formulaRef>
                          <c15:sqref>Ratios!$S$52:$W$52</c15:sqref>
                        </c15:formulaRef>
                      </c:ext>
                    </c:extLst>
                    <c:numCache>
                      <c:formatCode>General</c:formatCode>
                      <c:ptCount val="5"/>
                    </c:numCache>
                  </c:numRef>
                </c:val>
                <c:smooth val="0"/>
                <c:extLst>
                  <c:ext xmlns:c16="http://schemas.microsoft.com/office/drawing/2014/chart" uri="{C3380CC4-5D6E-409C-BE32-E72D297353CC}">
                    <c16:uniqueId val="{00000000-A7D7-4A94-99CA-73EADEB54E06}"/>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Ratios!$R$54</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Ratios!$S$51:$W$51</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Ratios!$S$54:$W$54</c15:sqref>
                        </c15:formulaRef>
                      </c:ext>
                    </c:extLst>
                    <c:numCache>
                      <c:formatCode>0.00%;\(0.00%\)</c:formatCode>
                      <c:ptCount val="5"/>
                    </c:numCache>
                  </c:numRef>
                </c:val>
                <c:smooth val="0"/>
                <c:extLst xmlns:c15="http://schemas.microsoft.com/office/drawing/2012/chart">
                  <c:ext xmlns:c16="http://schemas.microsoft.com/office/drawing/2014/chart" uri="{C3380CC4-5D6E-409C-BE32-E72D297353CC}">
                    <c16:uniqueId val="{00000002-A7D7-4A94-99CA-73EADEB54E06}"/>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Ratios!$R$55</c15:sqref>
                        </c15:formulaRef>
                      </c:ext>
                    </c:extLst>
                    <c:strCache>
                      <c:ptCount val="1"/>
                      <c:pt idx="0">
                        <c:v>Cash Return on Equity (CROE)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xmlns:c15="http://schemas.microsoft.com/office/drawing/2012/chart">
                      <c:ext xmlns:c15="http://schemas.microsoft.com/office/drawing/2012/chart" uri="{02D57815-91ED-43cb-92C2-25804820EDAC}">
                        <c15:formulaRef>
                          <c15:sqref>Ratios!$S$51:$W$51</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Ratios!$S$55:$W$55</c15:sqref>
                        </c15:formulaRef>
                      </c:ext>
                    </c:extLst>
                    <c:numCache>
                      <c:formatCode>0.00%;\(0.00%\)</c:formatCode>
                      <c:ptCount val="5"/>
                    </c:numCache>
                  </c:numRef>
                </c:val>
                <c:smooth val="0"/>
                <c:extLst xmlns:c15="http://schemas.microsoft.com/office/drawing/2012/chart">
                  <c:ext xmlns:c16="http://schemas.microsoft.com/office/drawing/2014/chart" uri="{C3380CC4-5D6E-409C-BE32-E72D297353CC}">
                    <c16:uniqueId val="{00000003-A7D7-4A94-99CA-73EADEB54E06}"/>
                  </c:ext>
                </c:extLst>
              </c15:ser>
            </c15:filteredLineSeries>
          </c:ext>
        </c:extLst>
      </c:lineChart>
      <c:lineChart>
        <c:grouping val="stacked"/>
        <c:varyColors val="0"/>
        <c:ser>
          <c:idx val="4"/>
          <c:order val="4"/>
          <c:tx>
            <c:strRef>
              <c:f>Ratios!$R$56</c:f>
              <c:strCache>
                <c:ptCount val="1"/>
                <c:pt idx="0">
                  <c:v>OCF/Shareholder's equity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Ratios!$S$51:$W$51</c:f>
              <c:numCache>
                <c:formatCode>General</c:formatCode>
                <c:ptCount val="5"/>
                <c:pt idx="0">
                  <c:v>2014</c:v>
                </c:pt>
                <c:pt idx="1">
                  <c:v>2015</c:v>
                </c:pt>
                <c:pt idx="2">
                  <c:v>2016</c:v>
                </c:pt>
                <c:pt idx="3">
                  <c:v>2017</c:v>
                </c:pt>
                <c:pt idx="4">
                  <c:v>2018</c:v>
                </c:pt>
              </c:numCache>
            </c:numRef>
          </c:cat>
          <c:val>
            <c:numRef>
              <c:f>Ratios!$S$56:$W$56</c:f>
              <c:numCache>
                <c:formatCode>0.00%;\(0.00%\)</c:formatCode>
                <c:ptCount val="5"/>
                <c:pt idx="0">
                  <c:v>0.53752415732288239</c:v>
                </c:pt>
                <c:pt idx="1">
                  <c:v>0.92265033353889592</c:v>
                </c:pt>
                <c:pt idx="2">
                  <c:v>-2.7480805011521108</c:v>
                </c:pt>
                <c:pt idx="3">
                  <c:v>-1.6984514064411487</c:v>
                </c:pt>
                <c:pt idx="4">
                  <c:v>-1.1131758916016874</c:v>
                </c:pt>
              </c:numCache>
            </c:numRef>
          </c:val>
          <c:smooth val="0"/>
          <c:extLst>
            <c:ext xmlns:c16="http://schemas.microsoft.com/office/drawing/2014/chart" uri="{C3380CC4-5D6E-409C-BE32-E72D297353CC}">
              <c16:uniqueId val="{00000004-A7D7-4A94-99CA-73EADEB54E06}"/>
            </c:ext>
          </c:extLst>
        </c:ser>
        <c:dLbls>
          <c:showLegendKey val="0"/>
          <c:showVal val="0"/>
          <c:showCatName val="0"/>
          <c:showSerName val="0"/>
          <c:showPercent val="0"/>
          <c:showBubbleSize val="0"/>
        </c:dLbls>
        <c:marker val="1"/>
        <c:smooth val="0"/>
        <c:axId val="111164640"/>
        <c:axId val="111163680"/>
      </c:lineChart>
      <c:catAx>
        <c:axId val="2032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9104"/>
        <c:crosses val="autoZero"/>
        <c:auto val="1"/>
        <c:lblAlgn val="ctr"/>
        <c:lblOffset val="100"/>
        <c:noMultiLvlLbl val="0"/>
      </c:catAx>
      <c:valAx>
        <c:axId val="20319910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1984"/>
        <c:crosses val="autoZero"/>
        <c:crossBetween val="between"/>
      </c:valAx>
      <c:valAx>
        <c:axId val="111163680"/>
        <c:scaling>
          <c:orientation val="minMax"/>
        </c:scaling>
        <c:delete val="0"/>
        <c:axPos val="r"/>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4640"/>
        <c:crosses val="max"/>
        <c:crossBetween val="between"/>
      </c:valAx>
      <c:catAx>
        <c:axId val="111164640"/>
        <c:scaling>
          <c:orientation val="minMax"/>
        </c:scaling>
        <c:delete val="1"/>
        <c:axPos val="b"/>
        <c:numFmt formatCode="General" sourceLinked="1"/>
        <c:majorTickMark val="out"/>
        <c:minorTickMark val="none"/>
        <c:tickLblPos val="nextTo"/>
        <c:crossAx val="1111636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Dividend</a:t>
            </a:r>
            <a:r>
              <a:rPr lang="en-IN" baseline="0"/>
              <a:t> and Sustainability (2014-2018)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cked"/>
        <c:varyColors val="0"/>
        <c:ser>
          <c:idx val="7"/>
          <c:order val="7"/>
          <c:tx>
            <c:strRef>
              <c:f>Ratios!$B$106</c:f>
              <c:strCache>
                <c:ptCount val="1"/>
                <c:pt idx="0">
                  <c:v>Net income/Dividends paid</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Ratios!$C$98:$G$98</c:f>
              <c:numCache>
                <c:formatCode>General</c:formatCode>
                <c:ptCount val="5"/>
                <c:pt idx="0">
                  <c:v>2014</c:v>
                </c:pt>
                <c:pt idx="1">
                  <c:v>2015</c:v>
                </c:pt>
                <c:pt idx="2">
                  <c:v>2016</c:v>
                </c:pt>
                <c:pt idx="3">
                  <c:v>2017</c:v>
                </c:pt>
                <c:pt idx="4">
                  <c:v>2018</c:v>
                </c:pt>
              </c:numCache>
            </c:numRef>
          </c:cat>
          <c:val>
            <c:numRef>
              <c:f>Ratios!$C$106:$G$106</c:f>
              <c:numCache>
                <c:formatCode>0.00%</c:formatCode>
                <c:ptCount val="5"/>
                <c:pt idx="0">
                  <c:v>1.7361694685207887</c:v>
                </c:pt>
                <c:pt idx="1">
                  <c:v>1.7318019530427731</c:v>
                </c:pt>
                <c:pt idx="2">
                  <c:v>1.8519935682432576</c:v>
                </c:pt>
                <c:pt idx="3">
                  <c:v>1.8727985299592129</c:v>
                </c:pt>
                <c:pt idx="4">
                  <c:v>1.8195583402438651</c:v>
                </c:pt>
              </c:numCache>
            </c:numRef>
          </c:val>
          <c:smooth val="0"/>
          <c:extLst>
            <c:ext xmlns:c16="http://schemas.microsoft.com/office/drawing/2014/chart" uri="{C3380CC4-5D6E-409C-BE32-E72D297353CC}">
              <c16:uniqueId val="{00000007-AF84-4041-9688-8071F7EDCD38}"/>
            </c:ext>
          </c:extLst>
        </c:ser>
        <c:dLbls>
          <c:showLegendKey val="0"/>
          <c:showVal val="0"/>
          <c:showCatName val="0"/>
          <c:showSerName val="0"/>
          <c:showPercent val="0"/>
          <c:showBubbleSize val="0"/>
        </c:dLbls>
        <c:marker val="1"/>
        <c:smooth val="0"/>
        <c:axId val="198236864"/>
        <c:axId val="198231104"/>
      </c:lineChart>
      <c:lineChart>
        <c:grouping val="stacked"/>
        <c:varyColors val="0"/>
        <c:ser>
          <c:idx val="4"/>
          <c:order val="4"/>
          <c:tx>
            <c:strRef>
              <c:f>Ratios!$B$103</c:f>
              <c:strCache>
                <c:ptCount val="1"/>
                <c:pt idx="0">
                  <c:v>OCF/Dividends paid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Ratios!$C$98:$G$98</c:f>
              <c:numCache>
                <c:formatCode>General</c:formatCode>
                <c:ptCount val="5"/>
                <c:pt idx="0">
                  <c:v>2014</c:v>
                </c:pt>
                <c:pt idx="1">
                  <c:v>2015</c:v>
                </c:pt>
                <c:pt idx="2">
                  <c:v>2016</c:v>
                </c:pt>
                <c:pt idx="3">
                  <c:v>2017</c:v>
                </c:pt>
                <c:pt idx="4">
                  <c:v>2018</c:v>
                </c:pt>
              </c:numCache>
            </c:numRef>
          </c:cat>
          <c:val>
            <c:numRef>
              <c:f>Ratios!$C$103:$G$103</c:f>
              <c:numCache>
                <c:formatCode>0.00%</c:formatCode>
                <c:ptCount val="5"/>
                <c:pt idx="0">
                  <c:v>2.1480986287739809</c:v>
                </c:pt>
                <c:pt idx="1">
                  <c:v>2.0242082778689281</c:v>
                </c:pt>
                <c:pt idx="2">
                  <c:v>1.9814269831927278</c:v>
                </c:pt>
                <c:pt idx="3">
                  <c:v>1.7969700893435201</c:v>
                </c:pt>
                <c:pt idx="4">
                  <c:v>2.1397155932307506</c:v>
                </c:pt>
              </c:numCache>
            </c:numRef>
          </c:val>
          <c:smooth val="0"/>
          <c:extLst>
            <c:ext xmlns:c16="http://schemas.microsoft.com/office/drawing/2014/chart" uri="{C3380CC4-5D6E-409C-BE32-E72D297353CC}">
              <c16:uniqueId val="{00000004-AF84-4041-9688-8071F7EDCD38}"/>
            </c:ext>
          </c:extLst>
        </c:ser>
        <c:ser>
          <c:idx val="1"/>
          <c:order val="1"/>
          <c:tx>
            <c:strRef>
              <c:f>Ratios!$B$100</c:f>
              <c:strCache>
                <c:ptCount val="1"/>
                <c:pt idx="0">
                  <c:v>(OCF-Dividends)/Net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Ratios!$C$98:$G$98</c:f>
              <c:numCache>
                <c:formatCode>General</c:formatCode>
                <c:ptCount val="5"/>
                <c:pt idx="0">
                  <c:v>2014</c:v>
                </c:pt>
                <c:pt idx="1">
                  <c:v>2015</c:v>
                </c:pt>
                <c:pt idx="2">
                  <c:v>2016</c:v>
                </c:pt>
                <c:pt idx="3">
                  <c:v>2017</c:v>
                </c:pt>
                <c:pt idx="4">
                  <c:v>2018</c:v>
                </c:pt>
              </c:numCache>
            </c:numRef>
          </c:cat>
          <c:val>
            <c:numRef>
              <c:f>Ratios!$C$100:$G$100</c:f>
              <c:numCache>
                <c:formatCode>0.00%</c:formatCode>
                <c:ptCount val="5"/>
                <c:pt idx="0">
                  <c:v>0.66128258190841105</c:v>
                </c:pt>
                <c:pt idx="1">
                  <c:v>0.59141189676417449</c:v>
                </c:pt>
                <c:pt idx="2">
                  <c:v>0.52993001704842757</c:v>
                </c:pt>
                <c:pt idx="3">
                  <c:v>0.42555036038012972</c:v>
                </c:pt>
                <c:pt idx="4">
                  <c:v>0.62636936009317579</c:v>
                </c:pt>
              </c:numCache>
            </c:numRef>
          </c:val>
          <c:smooth val="0"/>
          <c:extLst>
            <c:ext xmlns:c16="http://schemas.microsoft.com/office/drawing/2014/chart" uri="{C3380CC4-5D6E-409C-BE32-E72D297353CC}">
              <c16:uniqueId val="{00000001-AF84-4041-9688-8071F7EDCD38}"/>
            </c:ext>
          </c:extLst>
        </c:ser>
        <c:dLbls>
          <c:showLegendKey val="0"/>
          <c:showVal val="0"/>
          <c:showCatName val="0"/>
          <c:showSerName val="0"/>
          <c:showPercent val="0"/>
          <c:showBubbleSize val="0"/>
        </c:dLbls>
        <c:marker val="1"/>
        <c:smooth val="0"/>
        <c:axId val="204940224"/>
        <c:axId val="204941664"/>
        <c:extLst>
          <c:ext xmlns:c15="http://schemas.microsoft.com/office/drawing/2012/chart" uri="{02D57815-91ED-43cb-92C2-25804820EDAC}">
            <c15:filteredLineSeries>
              <c15:ser>
                <c:idx val="0"/>
                <c:order val="0"/>
                <c:tx>
                  <c:strRef>
                    <c:extLst>
                      <c:ext uri="{02D57815-91ED-43cb-92C2-25804820EDAC}">
                        <c15:formulaRef>
                          <c15:sqref>Ratios!$B$99</c15:sqref>
                        </c15:formulaRef>
                      </c:ext>
                    </c:extLst>
                    <c:strCache>
                      <c:ptCount val="1"/>
                      <c:pt idx="0">
                        <c:v>Sustained Cash Flow Index</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Ratios!$C$98:$G$98</c15:sqref>
                        </c15:formulaRef>
                      </c:ext>
                    </c:extLst>
                    <c:numCache>
                      <c:formatCode>General</c:formatCode>
                      <c:ptCount val="5"/>
                      <c:pt idx="0">
                        <c:v>2014</c:v>
                      </c:pt>
                      <c:pt idx="1">
                        <c:v>2015</c:v>
                      </c:pt>
                      <c:pt idx="2">
                        <c:v>2016</c:v>
                      </c:pt>
                      <c:pt idx="3">
                        <c:v>2017</c:v>
                      </c:pt>
                      <c:pt idx="4">
                        <c:v>2018</c:v>
                      </c:pt>
                    </c:numCache>
                  </c:numRef>
                </c:cat>
                <c:val>
                  <c:numRef>
                    <c:extLst>
                      <c:ext uri="{02D57815-91ED-43cb-92C2-25804820EDAC}">
                        <c15:formulaRef>
                          <c15:sqref>Ratios!$C$99:$G$99</c15:sqref>
                        </c15:formulaRef>
                      </c:ext>
                    </c:extLst>
                    <c:numCache>
                      <c:formatCode>General</c:formatCode>
                      <c:ptCount val="5"/>
                    </c:numCache>
                  </c:numRef>
                </c:val>
                <c:smooth val="0"/>
                <c:extLst>
                  <c:ext xmlns:c16="http://schemas.microsoft.com/office/drawing/2014/chart" uri="{C3380CC4-5D6E-409C-BE32-E72D297353CC}">
                    <c16:uniqueId val="{00000000-AF84-4041-9688-8071F7EDCD38}"/>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Ratios!$B$101</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Ratios!$C$98:$G$98</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Ratios!$C$101:$G$101</c15:sqref>
                        </c15:formulaRef>
                      </c:ext>
                    </c:extLst>
                    <c:numCache>
                      <c:formatCode>0.00%</c:formatCode>
                      <c:ptCount val="5"/>
                    </c:numCache>
                  </c:numRef>
                </c:val>
                <c:smooth val="0"/>
                <c:extLst xmlns:c15="http://schemas.microsoft.com/office/drawing/2012/chart">
                  <c:ext xmlns:c16="http://schemas.microsoft.com/office/drawing/2014/chart" uri="{C3380CC4-5D6E-409C-BE32-E72D297353CC}">
                    <c16:uniqueId val="{00000002-AF84-4041-9688-8071F7EDCD38}"/>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Ratios!$B$102</c15:sqref>
                        </c15:formulaRef>
                      </c:ext>
                    </c:extLst>
                    <c:strCache>
                      <c:ptCount val="1"/>
                      <c:pt idx="0">
                        <c:v>Dividend Coverage Ratio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xmlns:c15="http://schemas.microsoft.com/office/drawing/2012/chart">
                      <c:ext xmlns:c15="http://schemas.microsoft.com/office/drawing/2012/chart" uri="{02D57815-91ED-43cb-92C2-25804820EDAC}">
                        <c15:formulaRef>
                          <c15:sqref>Ratios!$C$98:$G$98</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Ratios!$C$102:$G$102</c15:sqref>
                        </c15:formulaRef>
                      </c:ext>
                    </c:extLst>
                    <c:numCache>
                      <c:formatCode>0.00%</c:formatCode>
                      <c:ptCount val="5"/>
                    </c:numCache>
                  </c:numRef>
                </c:val>
                <c:smooth val="0"/>
                <c:extLst xmlns:c15="http://schemas.microsoft.com/office/drawing/2012/chart">
                  <c:ext xmlns:c16="http://schemas.microsoft.com/office/drawing/2014/chart" uri="{C3380CC4-5D6E-409C-BE32-E72D297353CC}">
                    <c16:uniqueId val="{00000003-AF84-4041-9688-8071F7EDCD38}"/>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Ratios!$B$104</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Ratios!$C$98:$G$98</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Ratios!$C$104:$G$104</c15:sqref>
                        </c15:formulaRef>
                      </c:ext>
                    </c:extLst>
                    <c:numCache>
                      <c:formatCode>0.00%</c:formatCode>
                      <c:ptCount val="5"/>
                    </c:numCache>
                  </c:numRef>
                </c:val>
                <c:smooth val="0"/>
                <c:extLst xmlns:c15="http://schemas.microsoft.com/office/drawing/2012/chart">
                  <c:ext xmlns:c16="http://schemas.microsoft.com/office/drawing/2014/chart" uri="{C3380CC4-5D6E-409C-BE32-E72D297353CC}">
                    <c16:uniqueId val="{00000005-AF84-4041-9688-8071F7EDCD38}"/>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Ratios!$B$105</c15:sqref>
                        </c15:formulaRef>
                      </c:ext>
                    </c:extLst>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extLst xmlns:c15="http://schemas.microsoft.com/office/drawing/2012/chart">
                      <c:ext xmlns:c15="http://schemas.microsoft.com/office/drawing/2012/chart" uri="{02D57815-91ED-43cb-92C2-25804820EDAC}">
                        <c15:formulaRef>
                          <c15:sqref>Ratios!$C$98:$G$98</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Ratios!$C$105:$G$105</c15:sqref>
                        </c15:formulaRef>
                      </c:ext>
                    </c:extLst>
                    <c:numCache>
                      <c:formatCode>0.00%</c:formatCode>
                      <c:ptCount val="5"/>
                    </c:numCache>
                  </c:numRef>
                </c:val>
                <c:smooth val="0"/>
                <c:extLst xmlns:c15="http://schemas.microsoft.com/office/drawing/2012/chart">
                  <c:ext xmlns:c16="http://schemas.microsoft.com/office/drawing/2014/chart" uri="{C3380CC4-5D6E-409C-BE32-E72D297353CC}">
                    <c16:uniqueId val="{00000006-AF84-4041-9688-8071F7EDCD38}"/>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Ratios!$B$107</c15:sqref>
                        </c15:formulaRef>
                      </c:ext>
                    </c:extLst>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extLst xmlns:c15="http://schemas.microsoft.com/office/drawing/2012/chart">
                      <c:ext xmlns:c15="http://schemas.microsoft.com/office/drawing/2012/chart" uri="{02D57815-91ED-43cb-92C2-25804820EDAC}">
                        <c15:formulaRef>
                          <c15:sqref>Ratios!$C$98:$G$98</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Ratios!$C$107:$G$107</c15:sqref>
                        </c15:formulaRef>
                      </c:ext>
                    </c:extLst>
                    <c:numCache>
                      <c:formatCode>General</c:formatCode>
                      <c:ptCount val="5"/>
                    </c:numCache>
                  </c:numRef>
                </c:val>
                <c:smooth val="0"/>
                <c:extLst xmlns:c15="http://schemas.microsoft.com/office/drawing/2012/chart">
                  <c:ext xmlns:c16="http://schemas.microsoft.com/office/drawing/2014/chart" uri="{C3380CC4-5D6E-409C-BE32-E72D297353CC}">
                    <c16:uniqueId val="{00000008-AF84-4041-9688-8071F7EDCD38}"/>
                  </c:ext>
                </c:extLst>
              </c15:ser>
            </c15:filteredLineSeries>
          </c:ext>
        </c:extLst>
      </c:lineChart>
      <c:catAx>
        <c:axId val="19823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1104"/>
        <c:crosses val="autoZero"/>
        <c:auto val="1"/>
        <c:lblAlgn val="ctr"/>
        <c:lblOffset val="100"/>
        <c:noMultiLvlLbl val="0"/>
      </c:catAx>
      <c:valAx>
        <c:axId val="198231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6864"/>
        <c:crosses val="autoZero"/>
        <c:crossBetween val="between"/>
      </c:valAx>
      <c:valAx>
        <c:axId val="2049416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224"/>
        <c:crosses val="max"/>
        <c:crossBetween val="between"/>
      </c:valAx>
      <c:catAx>
        <c:axId val="204940224"/>
        <c:scaling>
          <c:orientation val="minMax"/>
        </c:scaling>
        <c:delete val="1"/>
        <c:axPos val="b"/>
        <c:numFmt formatCode="General" sourceLinked="1"/>
        <c:majorTickMark val="out"/>
        <c:minorTickMark val="none"/>
        <c:tickLblPos val="nextTo"/>
        <c:crossAx val="2049416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Market Performance (2014-2018)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2"/>
          <c:order val="2"/>
          <c:tx>
            <c:strRef>
              <c:f>Ratios!$J$100</c:f>
              <c:strCache>
                <c:ptCount val="1"/>
                <c:pt idx="0">
                  <c:v>OCF/Market cap</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Ratios!$K$98:$O$98</c:f>
              <c:numCache>
                <c:formatCode>General</c:formatCode>
                <c:ptCount val="5"/>
                <c:pt idx="0">
                  <c:v>2014</c:v>
                </c:pt>
                <c:pt idx="1">
                  <c:v>2015</c:v>
                </c:pt>
                <c:pt idx="2">
                  <c:v>2016</c:v>
                </c:pt>
                <c:pt idx="3">
                  <c:v>2017</c:v>
                </c:pt>
                <c:pt idx="4">
                  <c:v>2018</c:v>
                </c:pt>
              </c:numCache>
            </c:numRef>
          </c:cat>
          <c:val>
            <c:numRef>
              <c:f>Ratios!$K$100:$O$100</c:f>
              <c:numCache>
                <c:formatCode>0.00%</c:formatCode>
                <c:ptCount val="5"/>
                <c:pt idx="0">
                  <c:v>8.0380727053404974E-2</c:v>
                </c:pt>
                <c:pt idx="1">
                  <c:v>6.3832865044247789E-2</c:v>
                </c:pt>
                <c:pt idx="2">
                  <c:v>6.2706189157103284E-2</c:v>
                </c:pt>
                <c:pt idx="3">
                  <c:v>4.1428677210115901E-2</c:v>
                </c:pt>
                <c:pt idx="4">
                  <c:v>5.0892687559354235E-2</c:v>
                </c:pt>
              </c:numCache>
            </c:numRef>
          </c:val>
          <c:smooth val="0"/>
          <c:extLst>
            <c:ext xmlns:c16="http://schemas.microsoft.com/office/drawing/2014/chart" uri="{C3380CC4-5D6E-409C-BE32-E72D297353CC}">
              <c16:uniqueId val="{00000000-D3AF-436B-ADC8-4A12E8915128}"/>
            </c:ext>
          </c:extLst>
        </c:ser>
        <c:dLbls>
          <c:showLegendKey val="0"/>
          <c:showVal val="0"/>
          <c:showCatName val="0"/>
          <c:showSerName val="0"/>
          <c:showPercent val="0"/>
          <c:showBubbleSize val="0"/>
        </c:dLbls>
        <c:marker val="1"/>
        <c:smooth val="0"/>
        <c:axId val="1658972656"/>
        <c:axId val="1658973136"/>
        <c:extLst>
          <c:ext xmlns:c15="http://schemas.microsoft.com/office/drawing/2012/chart" uri="{02D57815-91ED-43cb-92C2-25804820EDAC}">
            <c15:filteredLineSeries>
              <c15:ser>
                <c:idx val="0"/>
                <c:order val="0"/>
                <c:tx>
                  <c:strRef>
                    <c:extLst>
                      <c:ext uri="{02D57815-91ED-43cb-92C2-25804820EDAC}">
                        <c15:formulaRef>
                          <c15:sqref>Ratios!$J$98</c15:sqref>
                        </c15:formulaRef>
                      </c:ext>
                    </c:extLst>
                    <c:strCache>
                      <c:ptCount val="1"/>
                      <c:pt idx="0">
                        <c:v>Years: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Ratios!$K$98:$O$98</c15:sqref>
                        </c15:formulaRef>
                      </c:ext>
                    </c:extLst>
                    <c:numCache>
                      <c:formatCode>General</c:formatCode>
                      <c:ptCount val="5"/>
                      <c:pt idx="0">
                        <c:v>2014</c:v>
                      </c:pt>
                      <c:pt idx="1">
                        <c:v>2015</c:v>
                      </c:pt>
                      <c:pt idx="2">
                        <c:v>2016</c:v>
                      </c:pt>
                      <c:pt idx="3">
                        <c:v>2017</c:v>
                      </c:pt>
                      <c:pt idx="4">
                        <c:v>2018</c:v>
                      </c:pt>
                    </c:numCache>
                  </c:numRef>
                </c:cat>
                <c:val>
                  <c:numRef>
                    <c:extLst>
                      <c:ext uri="{02D57815-91ED-43cb-92C2-25804820EDAC}">
                        <c15:formulaRef>
                          <c15:sqref>Ratios!$K$98:$O$98</c15:sqref>
                        </c15:formulaRef>
                      </c:ext>
                    </c:extLst>
                    <c:numCache>
                      <c:formatCode>General</c:formatCode>
                      <c:ptCount val="5"/>
                      <c:pt idx="0">
                        <c:v>2014</c:v>
                      </c:pt>
                      <c:pt idx="1">
                        <c:v>2015</c:v>
                      </c:pt>
                      <c:pt idx="2">
                        <c:v>2016</c:v>
                      </c:pt>
                      <c:pt idx="3">
                        <c:v>2017</c:v>
                      </c:pt>
                      <c:pt idx="4">
                        <c:v>2018</c:v>
                      </c:pt>
                    </c:numCache>
                  </c:numRef>
                </c:val>
                <c:smooth val="0"/>
                <c:extLst>
                  <c:ext xmlns:c16="http://schemas.microsoft.com/office/drawing/2014/chart" uri="{C3380CC4-5D6E-409C-BE32-E72D297353CC}">
                    <c16:uniqueId val="{00000001-D3AF-436B-ADC8-4A12E8915128}"/>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Ratios!$J$99</c15:sqref>
                        </c15:formulaRef>
                      </c:ext>
                    </c:extLst>
                    <c:strCache>
                      <c:ptCount val="1"/>
                      <c:pt idx="0">
                        <c:v>Cash Flow Yield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Ratios!$K$98:$O$98</c15:sqref>
                        </c15:formulaRef>
                      </c:ext>
                    </c:extLst>
                    <c:numCache>
                      <c:formatCode>General</c:formatCode>
                      <c:ptCount val="5"/>
                      <c:pt idx="0">
                        <c:v>2014</c:v>
                      </c:pt>
                      <c:pt idx="1">
                        <c:v>2015</c:v>
                      </c:pt>
                      <c:pt idx="2">
                        <c:v>2016</c:v>
                      </c:pt>
                      <c:pt idx="3">
                        <c:v>2017</c:v>
                      </c:pt>
                      <c:pt idx="4">
                        <c:v>2018</c:v>
                      </c:pt>
                    </c:numCache>
                  </c:numRef>
                </c:cat>
                <c:val>
                  <c:numRef>
                    <c:extLst xmlns:c15="http://schemas.microsoft.com/office/drawing/2012/chart">
                      <c:ext xmlns:c15="http://schemas.microsoft.com/office/drawing/2012/chart" uri="{02D57815-91ED-43cb-92C2-25804820EDAC}">
                        <c15:formulaRef>
                          <c15:sqref>Ratios!$K$99:$O$99</c15:sqref>
                        </c15:formulaRef>
                      </c:ext>
                    </c:extLst>
                    <c:numCache>
                      <c:formatCode>General</c:formatCode>
                      <c:ptCount val="5"/>
                    </c:numCache>
                  </c:numRef>
                </c:val>
                <c:smooth val="0"/>
                <c:extLst xmlns:c15="http://schemas.microsoft.com/office/drawing/2012/chart">
                  <c:ext xmlns:c16="http://schemas.microsoft.com/office/drawing/2014/chart" uri="{C3380CC4-5D6E-409C-BE32-E72D297353CC}">
                    <c16:uniqueId val="{00000002-D3AF-436B-ADC8-4A12E8915128}"/>
                  </c:ext>
                </c:extLst>
              </c15:ser>
            </c15:filteredLineSeries>
          </c:ext>
        </c:extLst>
      </c:lineChart>
      <c:catAx>
        <c:axId val="16589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73136"/>
        <c:crosses val="autoZero"/>
        <c:auto val="1"/>
        <c:lblAlgn val="ctr"/>
        <c:lblOffset val="100"/>
        <c:noMultiLvlLbl val="0"/>
      </c:catAx>
      <c:valAx>
        <c:axId val="1658973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7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revenues (2014-2018)</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'Segment Analysis'!$A$7</c:f>
              <c:strCache>
                <c:ptCount val="1"/>
                <c:pt idx="0">
                  <c:v>U.S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'Segment Analysis'!$B$5:$F$6</c:f>
              <c:multiLvlStrCache>
                <c:ptCount val="5"/>
                <c:lvl>
                  <c:pt idx="0">
                    <c:v>2014</c:v>
                  </c:pt>
                  <c:pt idx="1">
                    <c:v>2015</c:v>
                  </c:pt>
                  <c:pt idx="2">
                    <c:v>2016</c:v>
                  </c:pt>
                  <c:pt idx="3">
                    <c:v>2017</c:v>
                  </c:pt>
                  <c:pt idx="4">
                    <c:v>2018</c:v>
                  </c:pt>
                </c:lvl>
                <c:lvl>
                  <c:pt idx="0">
                    <c:v>Years</c:v>
                  </c:pt>
                </c:lvl>
              </c:multiLvlStrCache>
            </c:multiLvlStrRef>
          </c:cat>
          <c:val>
            <c:numRef>
              <c:f>'Segment Analysis'!$B$7:$F$7</c:f>
              <c:numCache>
                <c:formatCode>#,##0.0_);\(#,##0.0\ \)</c:formatCode>
                <c:ptCount val="5"/>
                <c:pt idx="0">
                  <c:v>9178.7109999999993</c:v>
                </c:pt>
                <c:pt idx="1">
                  <c:v>9063.8750999999993</c:v>
                </c:pt>
                <c:pt idx="2">
                  <c:v>8632.3242000000009</c:v>
                </c:pt>
                <c:pt idx="3">
                  <c:v>8198.5535999999993</c:v>
                </c:pt>
                <c:pt idx="4">
                  <c:v>7665.8</c:v>
                </c:pt>
              </c:numCache>
            </c:numRef>
          </c:val>
          <c:smooth val="0"/>
          <c:extLst>
            <c:ext xmlns:c16="http://schemas.microsoft.com/office/drawing/2014/chart" uri="{C3380CC4-5D6E-409C-BE32-E72D297353CC}">
              <c16:uniqueId val="{00000000-DA0C-4EE6-8691-475F862A7EC2}"/>
            </c:ext>
          </c:extLst>
        </c:ser>
        <c:ser>
          <c:idx val="1"/>
          <c:order val="1"/>
          <c:tx>
            <c:strRef>
              <c:f>'Segment Analysis'!$A$8</c:f>
              <c:strCache>
                <c:ptCount val="1"/>
                <c:pt idx="0">
                  <c:v>International Lead Markets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'Segment Analysis'!$B$5:$F$6</c:f>
              <c:multiLvlStrCache>
                <c:ptCount val="5"/>
                <c:lvl>
                  <c:pt idx="0">
                    <c:v>2014</c:v>
                  </c:pt>
                  <c:pt idx="1">
                    <c:v>2015</c:v>
                  </c:pt>
                  <c:pt idx="2">
                    <c:v>2016</c:v>
                  </c:pt>
                  <c:pt idx="3">
                    <c:v>2017</c:v>
                  </c:pt>
                  <c:pt idx="4">
                    <c:v>2018</c:v>
                  </c:pt>
                </c:lvl>
                <c:lvl>
                  <c:pt idx="0">
                    <c:v>Years</c:v>
                  </c:pt>
                </c:lvl>
              </c:multiLvlStrCache>
            </c:multiLvlStrRef>
          </c:cat>
          <c:val>
            <c:numRef>
              <c:f>'Segment Analysis'!$B$8:$F$8</c:f>
              <c:numCache>
                <c:formatCode>#,##0.0_);\(#,##0.0\ \)</c:formatCode>
                <c:ptCount val="5"/>
                <c:pt idx="0">
                  <c:v>9065.7145</c:v>
                </c:pt>
                <c:pt idx="1">
                  <c:v>8064.1790999999994</c:v>
                </c:pt>
                <c:pt idx="2">
                  <c:v>7555.6764000000003</c:v>
                </c:pt>
                <c:pt idx="3">
                  <c:v>7516.4672</c:v>
                </c:pt>
                <c:pt idx="4">
                  <c:v>7600.1</c:v>
                </c:pt>
              </c:numCache>
            </c:numRef>
          </c:val>
          <c:smooth val="0"/>
          <c:extLst>
            <c:ext xmlns:c16="http://schemas.microsoft.com/office/drawing/2014/chart" uri="{C3380CC4-5D6E-409C-BE32-E72D297353CC}">
              <c16:uniqueId val="{00000001-DA0C-4EE6-8691-475F862A7EC2}"/>
            </c:ext>
          </c:extLst>
        </c:ser>
        <c:ser>
          <c:idx val="2"/>
          <c:order val="2"/>
          <c:tx>
            <c:strRef>
              <c:f>'Segment Analysis'!$A$9</c:f>
              <c:strCache>
                <c:ptCount val="1"/>
                <c:pt idx="0">
                  <c:v>High Growth Markets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'Segment Analysis'!$B$5:$F$6</c:f>
              <c:multiLvlStrCache>
                <c:ptCount val="5"/>
                <c:lvl>
                  <c:pt idx="0">
                    <c:v>2014</c:v>
                  </c:pt>
                  <c:pt idx="1">
                    <c:v>2015</c:v>
                  </c:pt>
                  <c:pt idx="2">
                    <c:v>2016</c:v>
                  </c:pt>
                  <c:pt idx="3">
                    <c:v>2017</c:v>
                  </c:pt>
                  <c:pt idx="4">
                    <c:v>2018</c:v>
                  </c:pt>
                </c:lvl>
                <c:lvl>
                  <c:pt idx="0">
                    <c:v>Years</c:v>
                  </c:pt>
                </c:lvl>
              </c:multiLvlStrCache>
            </c:multiLvlStrRef>
          </c:cat>
          <c:val>
            <c:numRef>
              <c:f>'Segment Analysis'!$B$9:$F$9</c:f>
              <c:numCache>
                <c:formatCode>#,##0.0_);\(#,##0.0\ \)</c:formatCode>
                <c:ptCount val="5"/>
                <c:pt idx="0">
                  <c:v>7262.7571999999991</c:v>
                </c:pt>
                <c:pt idx="1">
                  <c:v>6536.9951999999994</c:v>
                </c:pt>
                <c:pt idx="2">
                  <c:v>6444.0922</c:v>
                </c:pt>
                <c:pt idx="3">
                  <c:v>5665.9967999999999</c:v>
                </c:pt>
                <c:pt idx="4">
                  <c:v>3988.7</c:v>
                </c:pt>
              </c:numCache>
            </c:numRef>
          </c:val>
          <c:smooth val="0"/>
          <c:extLst>
            <c:ext xmlns:c16="http://schemas.microsoft.com/office/drawing/2014/chart" uri="{C3380CC4-5D6E-409C-BE32-E72D297353CC}">
              <c16:uniqueId val="{00000002-DA0C-4EE6-8691-475F862A7EC2}"/>
            </c:ext>
          </c:extLst>
        </c:ser>
        <c:ser>
          <c:idx val="3"/>
          <c:order val="3"/>
          <c:tx>
            <c:strRef>
              <c:f>'Segment Analysis'!$A$10</c:f>
              <c:strCache>
                <c:ptCount val="1"/>
                <c:pt idx="0">
                  <c:v>Foundational Markets &amp; Corporate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'Segment Analysis'!$B$5:$F$6</c:f>
              <c:multiLvlStrCache>
                <c:ptCount val="5"/>
                <c:lvl>
                  <c:pt idx="0">
                    <c:v>2014</c:v>
                  </c:pt>
                  <c:pt idx="1">
                    <c:v>2015</c:v>
                  </c:pt>
                  <c:pt idx="2">
                    <c:v>2016</c:v>
                  </c:pt>
                  <c:pt idx="3">
                    <c:v>2017</c:v>
                  </c:pt>
                  <c:pt idx="4">
                    <c:v>2018</c:v>
                  </c:pt>
                </c:lvl>
                <c:lvl>
                  <c:pt idx="0">
                    <c:v>Years</c:v>
                  </c:pt>
                </c:lvl>
              </c:multiLvlStrCache>
            </c:multiLvlStrRef>
          </c:cat>
          <c:val>
            <c:numRef>
              <c:f>'Segment Analysis'!$B$10:$F$10</c:f>
              <c:numCache>
                <c:formatCode>#,##0.0_);\(#,##0.0\ \)</c:formatCode>
                <c:ptCount val="5"/>
                <c:pt idx="0">
                  <c:v>3608.0365999999999</c:v>
                </c:pt>
                <c:pt idx="1">
                  <c:v>3247.3175999999999</c:v>
                </c:pt>
                <c:pt idx="2">
                  <c:v>3122.4146000000001</c:v>
                </c:pt>
                <c:pt idx="3">
                  <c:v>1987.0720000000001</c:v>
                </c:pt>
                <c:pt idx="4">
                  <c:v>1770.6</c:v>
                </c:pt>
              </c:numCache>
            </c:numRef>
          </c:val>
          <c:smooth val="0"/>
          <c:extLst>
            <c:ext xmlns:c16="http://schemas.microsoft.com/office/drawing/2014/chart" uri="{C3380CC4-5D6E-409C-BE32-E72D297353CC}">
              <c16:uniqueId val="{00000003-DA0C-4EE6-8691-475F862A7EC2}"/>
            </c:ext>
          </c:extLst>
        </c:ser>
        <c:ser>
          <c:idx val="4"/>
          <c:order val="4"/>
          <c:tx>
            <c:strRef>
              <c:f>'Segment Analysis'!$A$11</c:f>
              <c:strCache>
                <c:ptCount val="1"/>
                <c:pt idx="0">
                  <c:v>Total revenues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'Segment Analysis'!$B$5:$F$6</c:f>
              <c:multiLvlStrCache>
                <c:ptCount val="5"/>
                <c:lvl>
                  <c:pt idx="0">
                    <c:v>2014</c:v>
                  </c:pt>
                  <c:pt idx="1">
                    <c:v>2015</c:v>
                  </c:pt>
                  <c:pt idx="2">
                    <c:v>2016</c:v>
                  </c:pt>
                  <c:pt idx="3">
                    <c:v>2017</c:v>
                  </c:pt>
                  <c:pt idx="4">
                    <c:v>2018</c:v>
                  </c:pt>
                </c:lvl>
                <c:lvl>
                  <c:pt idx="0">
                    <c:v>Years</c:v>
                  </c:pt>
                </c:lvl>
              </c:multiLvlStrCache>
            </c:multiLvlStrRef>
          </c:cat>
          <c:val>
            <c:numRef>
              <c:f>'Segment Analysis'!$B$11:$F$11</c:f>
              <c:numCache>
                <c:formatCode>#,##0.0_);\(#,##0.0\ \)</c:formatCode>
                <c:ptCount val="5"/>
                <c:pt idx="0">
                  <c:v>29115.219299999997</c:v>
                </c:pt>
                <c:pt idx="1">
                  <c:v>26912.366999999998</c:v>
                </c:pt>
                <c:pt idx="2">
                  <c:v>25754.507399999999</c:v>
                </c:pt>
                <c:pt idx="3">
                  <c:v>23368.089600000003</c:v>
                </c:pt>
                <c:pt idx="4">
                  <c:v>21025.200000000001</c:v>
                </c:pt>
              </c:numCache>
            </c:numRef>
          </c:val>
          <c:smooth val="0"/>
          <c:extLst>
            <c:ext xmlns:c16="http://schemas.microsoft.com/office/drawing/2014/chart" uri="{C3380CC4-5D6E-409C-BE32-E72D297353CC}">
              <c16:uniqueId val="{00000004-DA0C-4EE6-8691-475F862A7EC2}"/>
            </c:ext>
          </c:extLst>
        </c:ser>
        <c:dLbls>
          <c:showLegendKey val="0"/>
          <c:showVal val="0"/>
          <c:showCatName val="0"/>
          <c:showSerName val="0"/>
          <c:showPercent val="0"/>
          <c:showBubbleSize val="0"/>
        </c:dLbls>
        <c:marker val="1"/>
        <c:smooth val="0"/>
        <c:axId val="1899595071"/>
        <c:axId val="1899589791"/>
      </c:lineChart>
      <c:catAx>
        <c:axId val="189959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89791"/>
        <c:crosses val="autoZero"/>
        <c:auto val="1"/>
        <c:lblAlgn val="ctr"/>
        <c:lblOffset val="100"/>
        <c:noMultiLvlLbl val="0"/>
      </c:catAx>
      <c:valAx>
        <c:axId val="1899589791"/>
        <c:scaling>
          <c:orientation val="minMax"/>
        </c:scaling>
        <c:delete val="0"/>
        <c:axPos val="l"/>
        <c:majorGridlines>
          <c:spPr>
            <a:ln w="9525" cap="flat" cmpd="sng" algn="ctr">
              <a:solidFill>
                <a:schemeClr val="tx1">
                  <a:lumMod val="15000"/>
                  <a:lumOff val="85000"/>
                </a:schemeClr>
              </a:solidFill>
              <a:round/>
            </a:ln>
            <a:effectLst/>
          </c:spPr>
        </c:majorGridlines>
        <c:numFmt formatCode="#,##0.0_);\(#,##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95071"/>
        <c:crosses val="autoZero"/>
        <c:crossBetween val="between"/>
      </c:valAx>
      <c:spPr>
        <a:noFill/>
        <a:ln>
          <a:noFill/>
        </a:ln>
        <a:effectLst/>
      </c:spPr>
    </c:plotArea>
    <c:legend>
      <c:legendPos val="b"/>
      <c:layout>
        <c:manualLayout>
          <c:xMode val="edge"/>
          <c:yMode val="edge"/>
          <c:x val="0.1107060129453447"/>
          <c:y val="0.80089855774598639"/>
          <c:w val="0.82187196228317294"/>
          <c:h val="0.17415691866638616"/>
        </c:manualLayout>
      </c:layout>
      <c:overlay val="0"/>
      <c:spPr>
        <a:noFill/>
        <a:ln>
          <a:solidFill>
            <a:schemeClr val="accent1">
              <a:alpha val="99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operating income (2014-2018)</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'Segment Analysis'!$A$13</c:f>
              <c:strCache>
                <c:ptCount val="1"/>
                <c:pt idx="0">
                  <c:v>U.S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Analysis'!$B$13:$F$13</c:f>
              <c:numCache>
                <c:formatCode>#,##0.0_);\(#,##0.0\ \)</c:formatCode>
                <c:ptCount val="5"/>
                <c:pt idx="0">
                  <c:v>3737.3724999999999</c:v>
                </c:pt>
                <c:pt idx="1">
                  <c:v>3825.1079999999997</c:v>
                </c:pt>
                <c:pt idx="2">
                  <c:v>3942.0601999999999</c:v>
                </c:pt>
                <c:pt idx="3">
                  <c:v>4118.9376000000002</c:v>
                </c:pt>
                <c:pt idx="4">
                  <c:v>4015.6</c:v>
                </c:pt>
              </c:numCache>
            </c:numRef>
          </c:val>
          <c:smooth val="0"/>
          <c:extLst>
            <c:ext xmlns:c16="http://schemas.microsoft.com/office/drawing/2014/chart" uri="{C3380CC4-5D6E-409C-BE32-E72D297353CC}">
              <c16:uniqueId val="{00000000-B4C8-46FB-8791-7E453D579760}"/>
            </c:ext>
          </c:extLst>
        </c:ser>
        <c:ser>
          <c:idx val="1"/>
          <c:order val="1"/>
          <c:tx>
            <c:strRef>
              <c:f>'Segment Analysis'!$A$14</c:f>
              <c:strCache>
                <c:ptCount val="1"/>
                <c:pt idx="0">
                  <c:v>International Lead Markets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Analysis'!$B$14:$F$14</c:f>
              <c:numCache>
                <c:formatCode>#,##0.0_);\(#,##0.0\ \)</c:formatCode>
                <c:ptCount val="5"/>
                <c:pt idx="0">
                  <c:v>3219.6044999999999</c:v>
                </c:pt>
                <c:pt idx="1">
                  <c:v>2872.6433999999999</c:v>
                </c:pt>
                <c:pt idx="2">
                  <c:v>2968.9664000000002</c:v>
                </c:pt>
                <c:pt idx="3">
                  <c:v>3242.4960000000001</c:v>
                </c:pt>
                <c:pt idx="4">
                  <c:v>3485.7</c:v>
                </c:pt>
              </c:numCache>
            </c:numRef>
          </c:val>
          <c:smooth val="0"/>
          <c:extLst>
            <c:ext xmlns:c16="http://schemas.microsoft.com/office/drawing/2014/chart" uri="{C3380CC4-5D6E-409C-BE32-E72D297353CC}">
              <c16:uniqueId val="{00000001-B4C8-46FB-8791-7E453D579760}"/>
            </c:ext>
          </c:extLst>
        </c:ser>
        <c:ser>
          <c:idx val="2"/>
          <c:order val="2"/>
          <c:tx>
            <c:strRef>
              <c:f>'Segment Analysis'!$A$15</c:f>
              <c:strCache>
                <c:ptCount val="1"/>
                <c:pt idx="0">
                  <c:v>High Growth Markets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Analysis'!$B$15:$F$15</c:f>
              <c:numCache>
                <c:formatCode>#,##0.0_);\(#,##0.0\ \)</c:formatCode>
                <c:ptCount val="5"/>
                <c:pt idx="0">
                  <c:v>990.86789999999996</c:v>
                </c:pt>
                <c:pt idx="1">
                  <c:v>890.72489999999993</c:v>
                </c:pt>
                <c:pt idx="2">
                  <c:v>1097.0447999999999</c:v>
                </c:pt>
                <c:pt idx="3">
                  <c:v>2049.4336000000003</c:v>
                </c:pt>
                <c:pt idx="4">
                  <c:v>1001.2</c:v>
                </c:pt>
              </c:numCache>
            </c:numRef>
          </c:val>
          <c:smooth val="0"/>
          <c:extLst>
            <c:ext xmlns:c16="http://schemas.microsoft.com/office/drawing/2014/chart" uri="{C3380CC4-5D6E-409C-BE32-E72D297353CC}">
              <c16:uniqueId val="{00000002-B4C8-46FB-8791-7E453D579760}"/>
            </c:ext>
          </c:extLst>
        </c:ser>
        <c:ser>
          <c:idx val="3"/>
          <c:order val="3"/>
          <c:tx>
            <c:strRef>
              <c:f>'Segment Analysis'!$A$16</c:f>
              <c:strCache>
                <c:ptCount val="1"/>
                <c:pt idx="0">
                  <c:v>Foundational Markets &amp; Corporate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Analysis'!$B$16:$F$16</c:f>
              <c:numCache>
                <c:formatCode>#,##0.0_);\(#,##0.0\ \)</c:formatCode>
                <c:ptCount val="5"/>
                <c:pt idx="0">
                  <c:v>486.25630000000001</c:v>
                </c:pt>
                <c:pt idx="1">
                  <c:v>-21.391799999999996</c:v>
                </c:pt>
                <c:pt idx="2">
                  <c:v>92.675600000000003</c:v>
                </c:pt>
                <c:pt idx="3">
                  <c:v>371.0976</c:v>
                </c:pt>
                <c:pt idx="4">
                  <c:v>320.10000000000002</c:v>
                </c:pt>
              </c:numCache>
            </c:numRef>
          </c:val>
          <c:smooth val="0"/>
          <c:extLst>
            <c:ext xmlns:c16="http://schemas.microsoft.com/office/drawing/2014/chart" uri="{C3380CC4-5D6E-409C-BE32-E72D297353CC}">
              <c16:uniqueId val="{00000003-B4C8-46FB-8791-7E453D579760}"/>
            </c:ext>
          </c:extLst>
        </c:ser>
        <c:ser>
          <c:idx val="4"/>
          <c:order val="4"/>
          <c:tx>
            <c:strRef>
              <c:f>'Segment Analysis'!$A$17</c:f>
              <c:strCache>
                <c:ptCount val="1"/>
                <c:pt idx="0">
                  <c:v>Total operating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Analysis'!$B$17:$F$17</c:f>
              <c:numCache>
                <c:formatCode>#,##0.0_);\(#,##0.0\ \)</c:formatCode>
                <c:ptCount val="5"/>
                <c:pt idx="0">
                  <c:v>8434.1011999999992</c:v>
                </c:pt>
                <c:pt idx="1">
                  <c:v>7567.0845000000008</c:v>
                </c:pt>
                <c:pt idx="2">
                  <c:v>8100.7470000000012</c:v>
                </c:pt>
                <c:pt idx="3">
                  <c:v>9781.9647999999997</c:v>
                </c:pt>
                <c:pt idx="4">
                  <c:v>8822.6</c:v>
                </c:pt>
              </c:numCache>
            </c:numRef>
          </c:val>
          <c:smooth val="0"/>
          <c:extLst>
            <c:ext xmlns:c16="http://schemas.microsoft.com/office/drawing/2014/chart" uri="{C3380CC4-5D6E-409C-BE32-E72D297353CC}">
              <c16:uniqueId val="{00000004-B4C8-46FB-8791-7E453D579760}"/>
            </c:ext>
          </c:extLst>
        </c:ser>
        <c:dLbls>
          <c:showLegendKey val="0"/>
          <c:showVal val="0"/>
          <c:showCatName val="0"/>
          <c:showSerName val="0"/>
          <c:showPercent val="0"/>
          <c:showBubbleSize val="0"/>
        </c:dLbls>
        <c:marker val="1"/>
        <c:smooth val="0"/>
        <c:axId val="1899595071"/>
        <c:axId val="1899589791"/>
      </c:lineChart>
      <c:catAx>
        <c:axId val="189959507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89791"/>
        <c:crosses val="autoZero"/>
        <c:auto val="1"/>
        <c:lblAlgn val="ctr"/>
        <c:lblOffset val="100"/>
        <c:noMultiLvlLbl val="0"/>
      </c:catAx>
      <c:valAx>
        <c:axId val="1899589791"/>
        <c:scaling>
          <c:orientation val="minMax"/>
        </c:scaling>
        <c:delete val="0"/>
        <c:axPos val="l"/>
        <c:majorGridlines>
          <c:spPr>
            <a:ln w="9525" cap="flat" cmpd="sng" algn="ctr">
              <a:solidFill>
                <a:schemeClr val="tx1">
                  <a:lumMod val="15000"/>
                  <a:lumOff val="85000"/>
                </a:schemeClr>
              </a:solidFill>
              <a:round/>
            </a:ln>
            <a:effectLst/>
          </c:spPr>
        </c:majorGridlines>
        <c:numFmt formatCode="#,##0.0_);\(#,##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95071"/>
        <c:crosses val="autoZero"/>
        <c:crossBetween val="between"/>
      </c:valAx>
      <c:spPr>
        <a:noFill/>
        <a:ln>
          <a:noFill/>
        </a:ln>
        <a:effectLst/>
      </c:spPr>
    </c:plotArea>
    <c:legend>
      <c:legendPos val="b"/>
      <c:layout>
        <c:manualLayout>
          <c:xMode val="edge"/>
          <c:yMode val="edge"/>
          <c:x val="0.1107060129453447"/>
          <c:y val="0.80089855774598639"/>
          <c:w val="0.82187196228317294"/>
          <c:h val="0.17415691866638616"/>
        </c:manualLayout>
      </c:layout>
      <c:overlay val="0"/>
      <c:spPr>
        <a:noFill/>
        <a:ln>
          <a:solidFill>
            <a:schemeClr val="accent1">
              <a:alpha val="99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assets (2014-2018)</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'Segment Analysis'!$A$19</c:f>
              <c:strCache>
                <c:ptCount val="1"/>
                <c:pt idx="0">
                  <c:v>U.S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Analysis'!$B$19:$F$19</c:f>
              <c:numCache>
                <c:formatCode>#,##0.0_);\(#,##0.0\ \)</c:formatCode>
                <c:ptCount val="5"/>
                <c:pt idx="0">
                  <c:v>12596.2981</c:v>
                </c:pt>
                <c:pt idx="1">
                  <c:v>12502.659900000001</c:v>
                </c:pt>
                <c:pt idx="2">
                  <c:v>12510.787600000001</c:v>
                </c:pt>
                <c:pt idx="3">
                  <c:v>12952.1664</c:v>
                </c:pt>
                <c:pt idx="4">
                  <c:v>14483.8</c:v>
                </c:pt>
              </c:numCache>
            </c:numRef>
          </c:val>
          <c:smooth val="0"/>
          <c:extLst>
            <c:ext xmlns:c16="http://schemas.microsoft.com/office/drawing/2014/chart" uri="{C3380CC4-5D6E-409C-BE32-E72D297353CC}">
              <c16:uniqueId val="{00000000-E23F-4322-B775-B13282208571}"/>
            </c:ext>
          </c:extLst>
        </c:ser>
        <c:ser>
          <c:idx val="1"/>
          <c:order val="1"/>
          <c:tx>
            <c:strRef>
              <c:f>'Segment Analysis'!$A$20</c:f>
              <c:strCache>
                <c:ptCount val="1"/>
                <c:pt idx="0">
                  <c:v>International Lead Markets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Analysis'!$B$20:$F$20</c:f>
              <c:numCache>
                <c:formatCode>#,##0.0_);\(#,##0.0\ \)</c:formatCode>
                <c:ptCount val="5"/>
                <c:pt idx="0">
                  <c:v>13303.242399999999</c:v>
                </c:pt>
                <c:pt idx="1">
                  <c:v>11793.341699999999</c:v>
                </c:pt>
                <c:pt idx="2">
                  <c:v>9531.6750000000011</c:v>
                </c:pt>
                <c:pt idx="3">
                  <c:v>12128.563199999999</c:v>
                </c:pt>
                <c:pt idx="4">
                  <c:v>12713</c:v>
                </c:pt>
              </c:numCache>
            </c:numRef>
          </c:val>
          <c:smooth val="0"/>
          <c:extLst>
            <c:ext xmlns:c16="http://schemas.microsoft.com/office/drawing/2014/chart" uri="{C3380CC4-5D6E-409C-BE32-E72D297353CC}">
              <c16:uniqueId val="{00000001-E23F-4322-B775-B13282208571}"/>
            </c:ext>
          </c:extLst>
        </c:ser>
        <c:ser>
          <c:idx val="2"/>
          <c:order val="2"/>
          <c:tx>
            <c:strRef>
              <c:f>'Segment Analysis'!$A$21</c:f>
              <c:strCache>
                <c:ptCount val="1"/>
                <c:pt idx="0">
                  <c:v>High Growth Markets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Analysis'!$B$21:$F$21</c:f>
              <c:numCache>
                <c:formatCode>#,##0.0_);\(#,##0.0\ \)</c:formatCode>
                <c:ptCount val="5"/>
                <c:pt idx="0">
                  <c:v>6223.826</c:v>
                </c:pt>
                <c:pt idx="1">
                  <c:v>5558.2673999999997</c:v>
                </c:pt>
                <c:pt idx="2">
                  <c:v>5448.1956000000009</c:v>
                </c:pt>
                <c:pt idx="3">
                  <c:v>4588.2367999999997</c:v>
                </c:pt>
                <c:pt idx="4">
                  <c:v>4404.8999999999996</c:v>
                </c:pt>
              </c:numCache>
            </c:numRef>
          </c:val>
          <c:smooth val="0"/>
          <c:extLst>
            <c:ext xmlns:c16="http://schemas.microsoft.com/office/drawing/2014/chart" uri="{C3380CC4-5D6E-409C-BE32-E72D297353CC}">
              <c16:uniqueId val="{00000002-E23F-4322-B775-B13282208571}"/>
            </c:ext>
          </c:extLst>
        </c:ser>
        <c:ser>
          <c:idx val="3"/>
          <c:order val="3"/>
          <c:tx>
            <c:strRef>
              <c:f>'Segment Analysis'!$A$22</c:f>
              <c:strCache>
                <c:ptCount val="1"/>
                <c:pt idx="0">
                  <c:v>Foundational Markets &amp; Corporate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Analysis'!$B$22:$F$22</c:f>
              <c:numCache>
                <c:formatCode>#,##0.0_);\(#,##0.0\ \)</c:formatCode>
                <c:ptCount val="5"/>
                <c:pt idx="0">
                  <c:v>4191.9048999999995</c:v>
                </c:pt>
                <c:pt idx="1">
                  <c:v>10322.8143</c:v>
                </c:pt>
                <c:pt idx="2">
                  <c:v>4960.3411999999998</c:v>
                </c:pt>
                <c:pt idx="3">
                  <c:v>4946.0224000000007</c:v>
                </c:pt>
                <c:pt idx="4">
                  <c:v>1209.5</c:v>
                </c:pt>
              </c:numCache>
            </c:numRef>
          </c:val>
          <c:smooth val="0"/>
          <c:extLst>
            <c:ext xmlns:c16="http://schemas.microsoft.com/office/drawing/2014/chart" uri="{C3380CC4-5D6E-409C-BE32-E72D297353CC}">
              <c16:uniqueId val="{00000003-E23F-4322-B775-B13282208571}"/>
            </c:ext>
          </c:extLst>
        </c:ser>
        <c:ser>
          <c:idx val="4"/>
          <c:order val="4"/>
          <c:tx>
            <c:strRef>
              <c:f>'Segment Analysis'!$A$23</c:f>
              <c:strCache>
                <c:ptCount val="1"/>
                <c:pt idx="0">
                  <c:v>Total assets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Analysis'!$B$23:$F$23</c:f>
              <c:numCache>
                <c:formatCode>#,##0.0_);\(#,##0.0\ \)</c:formatCode>
                <c:ptCount val="5"/>
                <c:pt idx="0">
                  <c:v>36315.271399999998</c:v>
                </c:pt>
                <c:pt idx="1">
                  <c:v>40177.083299999991</c:v>
                </c:pt>
                <c:pt idx="2">
                  <c:v>32450.999400000001</c:v>
                </c:pt>
                <c:pt idx="3">
                  <c:v>34614.988800000006</c:v>
                </c:pt>
                <c:pt idx="4">
                  <c:v>32811.199999999997</c:v>
                </c:pt>
              </c:numCache>
            </c:numRef>
          </c:val>
          <c:smooth val="0"/>
          <c:extLst>
            <c:ext xmlns:c16="http://schemas.microsoft.com/office/drawing/2014/chart" uri="{C3380CC4-5D6E-409C-BE32-E72D297353CC}">
              <c16:uniqueId val="{00000004-E23F-4322-B775-B13282208571}"/>
            </c:ext>
          </c:extLst>
        </c:ser>
        <c:dLbls>
          <c:showLegendKey val="0"/>
          <c:showVal val="0"/>
          <c:showCatName val="0"/>
          <c:showSerName val="0"/>
          <c:showPercent val="0"/>
          <c:showBubbleSize val="0"/>
        </c:dLbls>
        <c:marker val="1"/>
        <c:smooth val="0"/>
        <c:axId val="1899595071"/>
        <c:axId val="1899589791"/>
      </c:lineChart>
      <c:catAx>
        <c:axId val="189959507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89791"/>
        <c:crosses val="autoZero"/>
        <c:auto val="1"/>
        <c:lblAlgn val="ctr"/>
        <c:lblOffset val="100"/>
        <c:noMultiLvlLbl val="0"/>
      </c:catAx>
      <c:valAx>
        <c:axId val="1899589791"/>
        <c:scaling>
          <c:orientation val="minMax"/>
        </c:scaling>
        <c:delete val="0"/>
        <c:axPos val="l"/>
        <c:majorGridlines>
          <c:spPr>
            <a:ln w="9525" cap="flat" cmpd="sng" algn="ctr">
              <a:solidFill>
                <a:schemeClr val="tx1">
                  <a:lumMod val="15000"/>
                  <a:lumOff val="85000"/>
                </a:schemeClr>
              </a:solidFill>
              <a:round/>
            </a:ln>
            <a:effectLst/>
          </c:spPr>
        </c:majorGridlines>
        <c:numFmt formatCode="#,##0.0_);\(#,##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95071"/>
        <c:crosses val="autoZero"/>
        <c:crossBetween val="between"/>
      </c:valAx>
      <c:spPr>
        <a:noFill/>
        <a:ln>
          <a:noFill/>
        </a:ln>
        <a:effectLst/>
      </c:spPr>
    </c:plotArea>
    <c:legend>
      <c:legendPos val="b"/>
      <c:layout>
        <c:manualLayout>
          <c:xMode val="edge"/>
          <c:yMode val="edge"/>
          <c:x val="0.1107060129453447"/>
          <c:y val="0.80089855774598639"/>
          <c:w val="0.82187196228317294"/>
          <c:h val="0.17415691866638616"/>
        </c:manualLayout>
      </c:layout>
      <c:overlay val="0"/>
      <c:spPr>
        <a:noFill/>
        <a:ln>
          <a:solidFill>
            <a:schemeClr val="accent1">
              <a:alpha val="99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capital and expenditure (2014-2018)</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'Segment Analysis'!$A$25</c:f>
              <c:strCache>
                <c:ptCount val="1"/>
                <c:pt idx="0">
                  <c:v>U.S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Analysis'!$B$25:$F$25</c:f>
              <c:numCache>
                <c:formatCode>#,##0.00_);\(#,##0.00\ \)</c:formatCode>
                <c:ptCount val="5"/>
                <c:pt idx="0">
                  <c:v>781.00209999999993</c:v>
                </c:pt>
                <c:pt idx="1">
                  <c:v>564.65880000000004</c:v>
                </c:pt>
                <c:pt idx="2">
                  <c:v>613.68820000000005</c:v>
                </c:pt>
                <c:pt idx="3">
                  <c:v>881.86880000000008</c:v>
                </c:pt>
                <c:pt idx="4">
                  <c:v>1849.8</c:v>
                </c:pt>
              </c:numCache>
            </c:numRef>
          </c:val>
          <c:smooth val="0"/>
          <c:extLst>
            <c:ext xmlns:c16="http://schemas.microsoft.com/office/drawing/2014/chart" uri="{C3380CC4-5D6E-409C-BE32-E72D297353CC}">
              <c16:uniqueId val="{00000000-DF5B-45DE-B2D6-81E6AAF6E342}"/>
            </c:ext>
          </c:extLst>
        </c:ser>
        <c:ser>
          <c:idx val="1"/>
          <c:order val="1"/>
          <c:tx>
            <c:strRef>
              <c:f>'Segment Analysis'!$A$26</c:f>
              <c:strCache>
                <c:ptCount val="1"/>
                <c:pt idx="0">
                  <c:v>International Lead Markets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Analysis'!$B$26:$F$26</c:f>
              <c:numCache>
                <c:formatCode>#,##0.00_);\(#,##0.00\ \)</c:formatCode>
                <c:ptCount val="5"/>
                <c:pt idx="0">
                  <c:v>840.41809999999998</c:v>
                </c:pt>
                <c:pt idx="1">
                  <c:v>631.26990000000001</c:v>
                </c:pt>
                <c:pt idx="2">
                  <c:v>664.83760000000007</c:v>
                </c:pt>
                <c:pt idx="3">
                  <c:v>527.66719999999998</c:v>
                </c:pt>
                <c:pt idx="4">
                  <c:v>436.4</c:v>
                </c:pt>
              </c:numCache>
            </c:numRef>
          </c:val>
          <c:smooth val="0"/>
          <c:extLst>
            <c:ext xmlns:c16="http://schemas.microsoft.com/office/drawing/2014/chart" uri="{C3380CC4-5D6E-409C-BE32-E72D297353CC}">
              <c16:uniqueId val="{00000001-DF5B-45DE-B2D6-81E6AAF6E342}"/>
            </c:ext>
          </c:extLst>
        </c:ser>
        <c:ser>
          <c:idx val="2"/>
          <c:order val="2"/>
          <c:tx>
            <c:strRef>
              <c:f>'Segment Analysis'!$A$27</c:f>
              <c:strCache>
                <c:ptCount val="1"/>
                <c:pt idx="0">
                  <c:v>High Growth Markets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Analysis'!$B$27:$F$27</c:f>
              <c:numCache>
                <c:formatCode>#,##0.00_);\(#,##0.00\ \)</c:formatCode>
                <c:ptCount val="5"/>
                <c:pt idx="0">
                  <c:v>853.89279999999985</c:v>
                </c:pt>
                <c:pt idx="1">
                  <c:v>572.3895</c:v>
                </c:pt>
                <c:pt idx="2">
                  <c:v>515.88720000000001</c:v>
                </c:pt>
                <c:pt idx="3">
                  <c:v>387.584</c:v>
                </c:pt>
                <c:pt idx="4">
                  <c:v>285.60000000000002</c:v>
                </c:pt>
              </c:numCache>
            </c:numRef>
          </c:val>
          <c:smooth val="0"/>
          <c:extLst>
            <c:ext xmlns:c16="http://schemas.microsoft.com/office/drawing/2014/chart" uri="{C3380CC4-5D6E-409C-BE32-E72D297353CC}">
              <c16:uniqueId val="{00000002-DF5B-45DE-B2D6-81E6AAF6E342}"/>
            </c:ext>
          </c:extLst>
        </c:ser>
        <c:ser>
          <c:idx val="3"/>
          <c:order val="3"/>
          <c:tx>
            <c:strRef>
              <c:f>'Segment Analysis'!$A$28</c:f>
              <c:strCache>
                <c:ptCount val="1"/>
                <c:pt idx="0">
                  <c:v>Foundational Markets &amp; Corporate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Analysis'!$B$28:$F$28</c:f>
              <c:numCache>
                <c:formatCode>#,##0.0_);\(#,##0.0\ \)</c:formatCode>
                <c:ptCount val="5"/>
                <c:pt idx="0">
                  <c:v>275.22339999999997</c:v>
                </c:pt>
                <c:pt idx="1">
                  <c:v>152.60189999999997</c:v>
                </c:pt>
                <c:pt idx="2">
                  <c:v>110.4576</c:v>
                </c:pt>
                <c:pt idx="3">
                  <c:v>101.06880000000001</c:v>
                </c:pt>
                <c:pt idx="4">
                  <c:v>169.9</c:v>
                </c:pt>
              </c:numCache>
            </c:numRef>
          </c:val>
          <c:smooth val="0"/>
          <c:extLst>
            <c:ext xmlns:c16="http://schemas.microsoft.com/office/drawing/2014/chart" uri="{C3380CC4-5D6E-409C-BE32-E72D297353CC}">
              <c16:uniqueId val="{00000003-DF5B-45DE-B2D6-81E6AAF6E342}"/>
            </c:ext>
          </c:extLst>
        </c:ser>
        <c:ser>
          <c:idx val="4"/>
          <c:order val="4"/>
          <c:tx>
            <c:strRef>
              <c:f>'Segment Analysis'!$A$29</c:f>
              <c:strCache>
                <c:ptCount val="1"/>
                <c:pt idx="0">
                  <c:v>Total capital and expenditure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Analysis'!$B$29:$F$29</c:f>
              <c:numCache>
                <c:formatCode>#,##0.0_);\(#,##0.0\ \)</c:formatCode>
                <c:ptCount val="5"/>
                <c:pt idx="0">
                  <c:v>2750.5364</c:v>
                </c:pt>
                <c:pt idx="1">
                  <c:v>1920.9201</c:v>
                </c:pt>
                <c:pt idx="2">
                  <c:v>1904.8706000000002</c:v>
                </c:pt>
                <c:pt idx="3">
                  <c:v>1898.1888000000001</c:v>
                </c:pt>
                <c:pt idx="4">
                  <c:v>2741.7</c:v>
                </c:pt>
              </c:numCache>
            </c:numRef>
          </c:val>
          <c:smooth val="0"/>
          <c:extLst>
            <c:ext xmlns:c16="http://schemas.microsoft.com/office/drawing/2014/chart" uri="{C3380CC4-5D6E-409C-BE32-E72D297353CC}">
              <c16:uniqueId val="{00000004-DF5B-45DE-B2D6-81E6AAF6E342}"/>
            </c:ext>
          </c:extLst>
        </c:ser>
        <c:dLbls>
          <c:showLegendKey val="0"/>
          <c:showVal val="0"/>
          <c:showCatName val="0"/>
          <c:showSerName val="0"/>
          <c:showPercent val="0"/>
          <c:showBubbleSize val="0"/>
        </c:dLbls>
        <c:marker val="1"/>
        <c:smooth val="0"/>
        <c:axId val="1899595071"/>
        <c:axId val="1899589791"/>
      </c:lineChart>
      <c:catAx>
        <c:axId val="189959507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89791"/>
        <c:crosses val="autoZero"/>
        <c:auto val="1"/>
        <c:lblAlgn val="ctr"/>
        <c:lblOffset val="100"/>
        <c:noMultiLvlLbl val="0"/>
      </c:catAx>
      <c:valAx>
        <c:axId val="1899589791"/>
        <c:scaling>
          <c:orientation val="minMax"/>
        </c:scaling>
        <c:delete val="0"/>
        <c:axPos val="l"/>
        <c:majorGridlines>
          <c:spPr>
            <a:ln w="9525" cap="flat" cmpd="sng" algn="ctr">
              <a:solidFill>
                <a:schemeClr val="tx1">
                  <a:lumMod val="15000"/>
                  <a:lumOff val="85000"/>
                </a:schemeClr>
              </a:solidFill>
              <a:round/>
            </a:ln>
            <a:effectLst/>
          </c:spPr>
        </c:majorGridlines>
        <c:numFmt formatCode="#,##0.00_);\(#,##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95071"/>
        <c:crosses val="autoZero"/>
        <c:crossBetween val="between"/>
      </c:valAx>
      <c:spPr>
        <a:noFill/>
        <a:ln>
          <a:noFill/>
        </a:ln>
        <a:effectLst/>
      </c:spPr>
    </c:plotArea>
    <c:legend>
      <c:legendPos val="b"/>
      <c:layout>
        <c:manualLayout>
          <c:xMode val="edge"/>
          <c:yMode val="edge"/>
          <c:x val="0.1107060129453447"/>
          <c:y val="0.80089855774598639"/>
          <c:w val="0.82187196228317294"/>
          <c:h val="0.17415691866638616"/>
        </c:manualLayout>
      </c:layout>
      <c:overlay val="0"/>
      <c:spPr>
        <a:noFill/>
        <a:ln>
          <a:solidFill>
            <a:schemeClr val="accent1">
              <a:alpha val="99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depreciation and amortization (2014-2018)</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'Segment Analysis'!$A$31</c:f>
              <c:strCache>
                <c:ptCount val="1"/>
                <c:pt idx="0">
                  <c:v>U.S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Analysis'!$B$31:$F$31</c:f>
              <c:numCache>
                <c:formatCode>#,##0.0_);\(#,##0.0\ \)</c:formatCode>
                <c:ptCount val="5"/>
                <c:pt idx="0">
                  <c:v>543.44420000000002</c:v>
                </c:pt>
                <c:pt idx="1">
                  <c:v>545.59680000000003</c:v>
                </c:pt>
                <c:pt idx="2">
                  <c:v>533.77380000000005</c:v>
                </c:pt>
                <c:pt idx="3">
                  <c:v>536.67840000000001</c:v>
                </c:pt>
                <c:pt idx="4">
                  <c:v>598.4</c:v>
                </c:pt>
              </c:numCache>
            </c:numRef>
          </c:val>
          <c:smooth val="0"/>
          <c:extLst>
            <c:ext xmlns:c16="http://schemas.microsoft.com/office/drawing/2014/chart" uri="{C3380CC4-5D6E-409C-BE32-E72D297353CC}">
              <c16:uniqueId val="{00000000-2677-4E6D-A537-2F2D62CE6C29}"/>
            </c:ext>
          </c:extLst>
        </c:ser>
        <c:ser>
          <c:idx val="1"/>
          <c:order val="1"/>
          <c:tx>
            <c:strRef>
              <c:f>'Segment Analysis'!$A$32</c:f>
              <c:strCache>
                <c:ptCount val="1"/>
                <c:pt idx="0">
                  <c:v>International Lead Markets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Analysis'!$B$32:$F$32</c:f>
              <c:numCache>
                <c:formatCode>#,##0.0_);\(#,##0.0\ \)</c:formatCode>
                <c:ptCount val="5"/>
                <c:pt idx="0">
                  <c:v>552.9932</c:v>
                </c:pt>
                <c:pt idx="1">
                  <c:v>488.09309999999994</c:v>
                </c:pt>
                <c:pt idx="2">
                  <c:v>472.37360000000007</c:v>
                </c:pt>
                <c:pt idx="3">
                  <c:v>472.16640000000001</c:v>
                </c:pt>
                <c:pt idx="4">
                  <c:v>472.9</c:v>
                </c:pt>
              </c:numCache>
            </c:numRef>
          </c:val>
          <c:smooth val="0"/>
          <c:extLst>
            <c:ext xmlns:c16="http://schemas.microsoft.com/office/drawing/2014/chart" uri="{C3380CC4-5D6E-409C-BE32-E72D297353CC}">
              <c16:uniqueId val="{00000001-2677-4E6D-A537-2F2D62CE6C29}"/>
            </c:ext>
          </c:extLst>
        </c:ser>
        <c:ser>
          <c:idx val="2"/>
          <c:order val="2"/>
          <c:tx>
            <c:strRef>
              <c:f>'Segment Analysis'!$A$33</c:f>
              <c:strCache>
                <c:ptCount val="1"/>
                <c:pt idx="0">
                  <c:v>High Growth Markets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Analysis'!$B$33:$F$33</c:f>
              <c:numCache>
                <c:formatCode>#,##0.0_);\(#,##0.0\ \)</c:formatCode>
                <c:ptCount val="5"/>
                <c:pt idx="0">
                  <c:v>411.45580000000001</c:v>
                </c:pt>
                <c:pt idx="1">
                  <c:v>385.37009999999998</c:v>
                </c:pt>
                <c:pt idx="2">
                  <c:v>378.65199999999999</c:v>
                </c:pt>
                <c:pt idx="3">
                  <c:v>237.26079999999999</c:v>
                </c:pt>
                <c:pt idx="4">
                  <c:v>233</c:v>
                </c:pt>
              </c:numCache>
            </c:numRef>
          </c:val>
          <c:smooth val="0"/>
          <c:extLst>
            <c:ext xmlns:c16="http://schemas.microsoft.com/office/drawing/2014/chart" uri="{C3380CC4-5D6E-409C-BE32-E72D297353CC}">
              <c16:uniqueId val="{00000002-2677-4E6D-A537-2F2D62CE6C29}"/>
            </c:ext>
          </c:extLst>
        </c:ser>
        <c:ser>
          <c:idx val="3"/>
          <c:order val="3"/>
          <c:tx>
            <c:strRef>
              <c:f>'Segment Analysis'!$A$34</c:f>
              <c:strCache>
                <c:ptCount val="1"/>
                <c:pt idx="0">
                  <c:v>Foundational Markets &amp; Corporate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Analysis'!$B$34:$F$34</c:f>
              <c:numCache>
                <c:formatCode>#,##0.0_);\(#,##0.0\ \)</c:formatCode>
                <c:ptCount val="5"/>
                <c:pt idx="0">
                  <c:v>236.9213</c:v>
                </c:pt>
                <c:pt idx="1">
                  <c:v>228.42629999999997</c:v>
                </c:pt>
                <c:pt idx="2">
                  <c:v>201.45959999999999</c:v>
                </c:pt>
                <c:pt idx="3">
                  <c:v>150.01599999999999</c:v>
                </c:pt>
                <c:pt idx="4">
                  <c:v>177.7</c:v>
                </c:pt>
              </c:numCache>
            </c:numRef>
          </c:val>
          <c:smooth val="0"/>
          <c:extLst>
            <c:ext xmlns:c16="http://schemas.microsoft.com/office/drawing/2014/chart" uri="{C3380CC4-5D6E-409C-BE32-E72D297353CC}">
              <c16:uniqueId val="{00000003-2677-4E6D-A537-2F2D62CE6C29}"/>
            </c:ext>
          </c:extLst>
        </c:ser>
        <c:ser>
          <c:idx val="4"/>
          <c:order val="4"/>
          <c:tx>
            <c:strRef>
              <c:f>'Segment Analysis'!$A$35</c:f>
              <c:strCache>
                <c:ptCount val="1"/>
                <c:pt idx="0">
                  <c:v>Total depreciation and amortization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'Segment Analysis'!$B$6:$F$6</c:f>
              <c:numCache>
                <c:formatCode>0</c:formatCode>
                <c:ptCount val="5"/>
                <c:pt idx="0">
                  <c:v>2014</c:v>
                </c:pt>
                <c:pt idx="1">
                  <c:v>2015</c:v>
                </c:pt>
                <c:pt idx="2">
                  <c:v>2016</c:v>
                </c:pt>
                <c:pt idx="3">
                  <c:v>2017</c:v>
                </c:pt>
                <c:pt idx="4">
                  <c:v>2018</c:v>
                </c:pt>
              </c:numCache>
            </c:numRef>
          </c:cat>
          <c:val>
            <c:numRef>
              <c:f>'Segment Analysis'!$B$35:$F$35</c:f>
              <c:numCache>
                <c:formatCode>#,##0.0_);\(#,##0.0\ \)</c:formatCode>
                <c:ptCount val="5"/>
                <c:pt idx="0">
                  <c:v>1744.8145</c:v>
                </c:pt>
                <c:pt idx="1">
                  <c:v>1647.4863</c:v>
                </c:pt>
                <c:pt idx="2">
                  <c:v>1586.259</c:v>
                </c:pt>
                <c:pt idx="3">
                  <c:v>1396.1216000000002</c:v>
                </c:pt>
                <c:pt idx="4">
                  <c:v>1482</c:v>
                </c:pt>
              </c:numCache>
            </c:numRef>
          </c:val>
          <c:smooth val="0"/>
          <c:extLst>
            <c:ext xmlns:c16="http://schemas.microsoft.com/office/drawing/2014/chart" uri="{C3380CC4-5D6E-409C-BE32-E72D297353CC}">
              <c16:uniqueId val="{00000004-2677-4E6D-A537-2F2D62CE6C29}"/>
            </c:ext>
          </c:extLst>
        </c:ser>
        <c:dLbls>
          <c:showLegendKey val="0"/>
          <c:showVal val="0"/>
          <c:showCatName val="0"/>
          <c:showSerName val="0"/>
          <c:showPercent val="0"/>
          <c:showBubbleSize val="0"/>
        </c:dLbls>
        <c:marker val="1"/>
        <c:smooth val="0"/>
        <c:axId val="1899595071"/>
        <c:axId val="1899589791"/>
      </c:lineChart>
      <c:catAx>
        <c:axId val="189959507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89791"/>
        <c:crosses val="autoZero"/>
        <c:auto val="1"/>
        <c:lblAlgn val="ctr"/>
        <c:lblOffset val="100"/>
        <c:noMultiLvlLbl val="0"/>
      </c:catAx>
      <c:valAx>
        <c:axId val="1899589791"/>
        <c:scaling>
          <c:orientation val="minMax"/>
        </c:scaling>
        <c:delete val="0"/>
        <c:axPos val="l"/>
        <c:majorGridlines>
          <c:spPr>
            <a:ln w="9525" cap="flat" cmpd="sng" algn="ctr">
              <a:solidFill>
                <a:schemeClr val="tx1">
                  <a:lumMod val="15000"/>
                  <a:lumOff val="85000"/>
                </a:schemeClr>
              </a:solidFill>
              <a:round/>
            </a:ln>
            <a:effectLst/>
          </c:spPr>
        </c:majorGridlines>
        <c:numFmt formatCode="#,##0.0_);\(#,##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95071"/>
        <c:crosses val="autoZero"/>
        <c:crossBetween val="between"/>
      </c:valAx>
      <c:spPr>
        <a:noFill/>
        <a:ln>
          <a:noFill/>
        </a:ln>
        <a:effectLst/>
      </c:spPr>
    </c:plotArea>
    <c:legend>
      <c:legendPos val="b"/>
      <c:layout>
        <c:manualLayout>
          <c:xMode val="edge"/>
          <c:yMode val="edge"/>
          <c:x val="0.1107060129453447"/>
          <c:y val="0.80089855774598639"/>
          <c:w val="0.82187196228317294"/>
          <c:h val="0.17415691866638616"/>
        </c:manualLayout>
      </c:layout>
      <c:overlay val="0"/>
      <c:spPr>
        <a:noFill/>
        <a:ln>
          <a:solidFill>
            <a:schemeClr val="accent1">
              <a:alpha val="99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Baseline</a:t>
            </a:r>
            <a:r>
              <a:rPr lang="en-IN" baseline="0"/>
              <a:t> Growth (2019-2023)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5"/>
          <c:order val="5"/>
          <c:tx>
            <c:strRef>
              <c:f>Forecast!$F$12</c:f>
              <c:strCache>
                <c:ptCount val="1"/>
                <c:pt idx="0">
                  <c:v>Adjusted Revenue</c:v>
                </c:pt>
              </c:strCache>
            </c:strRef>
          </c:tx>
          <c:spPr>
            <a:ln w="28575" cap="rnd">
              <a:solidFill>
                <a:schemeClr val="accent2">
                  <a:lumMod val="75000"/>
                </a:schemeClr>
              </a:solidFill>
              <a:round/>
            </a:ln>
            <a:effectLst/>
          </c:spPr>
          <c:marker>
            <c:symbol val="circle"/>
            <c:size val="5"/>
            <c:spPr>
              <a:solidFill>
                <a:schemeClr val="accent6"/>
              </a:solidFill>
              <a:ln w="9525">
                <a:solidFill>
                  <a:schemeClr val="accent6"/>
                </a:solidFill>
              </a:ln>
              <a:effectLst/>
            </c:spPr>
          </c:marker>
          <c:dPt>
            <c:idx val="3"/>
            <c:marker>
              <c:symbol val="circle"/>
              <c:size val="5"/>
              <c:spPr>
                <a:solidFill>
                  <a:schemeClr val="accent6"/>
                </a:solidFill>
                <a:ln w="9525">
                  <a:solidFill>
                    <a:schemeClr val="accent2">
                      <a:lumMod val="75000"/>
                    </a:schemeClr>
                  </a:solidFill>
                </a:ln>
                <a:effectLst/>
              </c:spPr>
            </c:marker>
            <c:bubble3D val="0"/>
            <c:extLst>
              <c:ext xmlns:c16="http://schemas.microsoft.com/office/drawing/2014/chart" uri="{C3380CC4-5D6E-409C-BE32-E72D297353CC}">
                <c16:uniqueId val="{00000000-47E3-45B5-B620-E6CB1865BCC4}"/>
              </c:ext>
            </c:extLst>
          </c:dPt>
          <c:cat>
            <c:numRef>
              <c:f>Forecast!$A$13:$A$17</c:f>
              <c:numCache>
                <c:formatCode>0</c:formatCode>
                <c:ptCount val="5"/>
                <c:pt idx="0">
                  <c:v>2019</c:v>
                </c:pt>
                <c:pt idx="1">
                  <c:v>2020</c:v>
                </c:pt>
                <c:pt idx="2">
                  <c:v>2021</c:v>
                </c:pt>
                <c:pt idx="3">
                  <c:v>2022</c:v>
                </c:pt>
                <c:pt idx="4">
                  <c:v>2023</c:v>
                </c:pt>
              </c:numCache>
            </c:numRef>
          </c:cat>
          <c:val>
            <c:numRef>
              <c:f>Forecast!$F$13:$F$17</c:f>
              <c:numCache>
                <c:formatCode>#,##0.0_);\(#,##0.0\ \)</c:formatCode>
                <c:ptCount val="5"/>
                <c:pt idx="0">
                  <c:v>21662.327272727274</c:v>
                </c:pt>
                <c:pt idx="1">
                  <c:v>22321.038857142859</c:v>
                </c:pt>
                <c:pt idx="2">
                  <c:v>23002.175712989694</c:v>
                </c:pt>
                <c:pt idx="3">
                  <c:v>23706.617344200004</c:v>
                </c:pt>
                <c:pt idx="4">
                  <c:v>24435.283898358575</c:v>
                </c:pt>
              </c:numCache>
            </c:numRef>
          </c:val>
          <c:smooth val="0"/>
          <c:extLst xmlns:c15="http://schemas.microsoft.com/office/drawing/2012/chart">
            <c:ext xmlns:c16="http://schemas.microsoft.com/office/drawing/2014/chart" uri="{C3380CC4-5D6E-409C-BE32-E72D297353CC}">
              <c16:uniqueId val="{00000005-24CE-40B8-B404-B754A084A434}"/>
            </c:ext>
          </c:extLst>
        </c:ser>
        <c:dLbls>
          <c:showLegendKey val="0"/>
          <c:showVal val="0"/>
          <c:showCatName val="0"/>
          <c:showSerName val="0"/>
          <c:showPercent val="0"/>
          <c:showBubbleSize val="0"/>
        </c:dLbls>
        <c:marker val="1"/>
        <c:smooth val="0"/>
        <c:axId val="1253656400"/>
        <c:axId val="1253657360"/>
        <c:extLst>
          <c:ext xmlns:c15="http://schemas.microsoft.com/office/drawing/2012/chart" uri="{02D57815-91ED-43cb-92C2-25804820EDAC}">
            <c15:filteredLineSeries>
              <c15:ser>
                <c:idx val="0"/>
                <c:order val="0"/>
                <c:tx>
                  <c:strRef>
                    <c:extLst>
                      <c:ext uri="{02D57815-91ED-43cb-92C2-25804820EDAC}">
                        <c15:formulaRef>
                          <c15:sqref>Forecast!$A$12</c15:sqref>
                        </c15:formulaRef>
                      </c:ext>
                    </c:extLst>
                    <c:strCache>
                      <c:ptCount val="1"/>
                      <c:pt idx="0">
                        <c:v>Year</c:v>
                      </c:pt>
                    </c:strCache>
                  </c:strRef>
                </c:tx>
                <c:spPr>
                  <a:ln w="28575" cap="rnd">
                    <a:solidFill>
                      <a:schemeClr val="accent1"/>
                    </a:solidFill>
                    <a:round/>
                  </a:ln>
                  <a:effectLst/>
                </c:spPr>
                <c:marker>
                  <c:symbol val="circle"/>
                  <c:size val="5"/>
                  <c:spPr>
                    <a:solidFill>
                      <a:schemeClr val="accent1"/>
                    </a:solidFill>
                    <a:ln w="9525">
                      <a:solidFill>
                        <a:schemeClr val="accent1">
                          <a:lumMod val="60000"/>
                          <a:lumOff val="40000"/>
                        </a:schemeClr>
                      </a:solidFill>
                    </a:ln>
                    <a:effectLst/>
                  </c:spPr>
                </c:marker>
                <c:cat>
                  <c:numRef>
                    <c:extLst>
                      <c:ext uri="{02D57815-91ED-43cb-92C2-25804820EDAC}">
                        <c15:formulaRef>
                          <c15:sqref>Forecast!$A$13:$A$17</c15:sqref>
                        </c15:formulaRef>
                      </c:ext>
                    </c:extLst>
                    <c:numCache>
                      <c:formatCode>0</c:formatCode>
                      <c:ptCount val="5"/>
                      <c:pt idx="0">
                        <c:v>2019</c:v>
                      </c:pt>
                      <c:pt idx="1">
                        <c:v>2020</c:v>
                      </c:pt>
                      <c:pt idx="2">
                        <c:v>2021</c:v>
                      </c:pt>
                      <c:pt idx="3">
                        <c:v>2022</c:v>
                      </c:pt>
                      <c:pt idx="4">
                        <c:v>2023</c:v>
                      </c:pt>
                    </c:numCache>
                  </c:numRef>
                </c:cat>
                <c:val>
                  <c:numRef>
                    <c:extLst>
                      <c:ext uri="{02D57815-91ED-43cb-92C2-25804820EDAC}">
                        <c15:formulaRef>
                          <c15:sqref>Forecast!$A$13:$A$17</c15:sqref>
                        </c15:formulaRef>
                      </c:ext>
                    </c:extLst>
                    <c:numCache>
                      <c:formatCode>0</c:formatCode>
                      <c:ptCount val="5"/>
                      <c:pt idx="0">
                        <c:v>2019</c:v>
                      </c:pt>
                      <c:pt idx="1">
                        <c:v>2020</c:v>
                      </c:pt>
                      <c:pt idx="2">
                        <c:v>2021</c:v>
                      </c:pt>
                      <c:pt idx="3">
                        <c:v>2022</c:v>
                      </c:pt>
                      <c:pt idx="4">
                        <c:v>2023</c:v>
                      </c:pt>
                    </c:numCache>
                  </c:numRef>
                </c:val>
                <c:smooth val="0"/>
                <c:extLst>
                  <c:ext xmlns:c16="http://schemas.microsoft.com/office/drawing/2014/chart" uri="{C3380CC4-5D6E-409C-BE32-E72D297353CC}">
                    <c16:uniqueId val="{00000000-24CE-40B8-B404-B754A084A434}"/>
                  </c:ext>
                </c:extLst>
              </c15:ser>
            </c15:filteredLineSeries>
          </c:ext>
        </c:extLst>
      </c:lineChart>
      <c:lineChart>
        <c:grouping val="standard"/>
        <c:varyColors val="0"/>
        <c:ser>
          <c:idx val="1"/>
          <c:order val="1"/>
          <c:tx>
            <c:strRef>
              <c:f>Forecast!$B$12</c:f>
              <c:strCache>
                <c:ptCount val="1"/>
                <c:pt idx="0">
                  <c:v>Projected Market size (4%)</c:v>
                </c:pt>
              </c:strCache>
            </c:strRef>
          </c:tx>
          <c:spPr>
            <a:ln w="28575" cap="rnd">
              <a:solidFill>
                <a:schemeClr val="accent1">
                  <a:lumMod val="60000"/>
                  <a:lumOff val="40000"/>
                </a:schemeClr>
              </a:solidFill>
              <a:round/>
            </a:ln>
            <a:effectLst/>
          </c:spPr>
          <c:marker>
            <c:symbol val="circle"/>
            <c:size val="5"/>
            <c:spPr>
              <a:solidFill>
                <a:schemeClr val="accent2"/>
              </a:solidFill>
              <a:ln w="9525">
                <a:solidFill>
                  <a:schemeClr val="accent1">
                    <a:lumMod val="60000"/>
                    <a:lumOff val="40000"/>
                  </a:schemeClr>
                </a:solidFill>
              </a:ln>
              <a:effectLst/>
            </c:spPr>
          </c:marker>
          <c:val>
            <c:numRef>
              <c:f>Forecast!$B$13:$B$17</c:f>
              <c:numCache>
                <c:formatCode>#,##0.0_);\(#,##0.0\ \)</c:formatCode>
                <c:ptCount val="5"/>
                <c:pt idx="0">
                  <c:v>942982.76800000004</c:v>
                </c:pt>
                <c:pt idx="1">
                  <c:v>980702.07872000011</c:v>
                </c:pt>
                <c:pt idx="2">
                  <c:v>1019930.1618688002</c:v>
                </c:pt>
                <c:pt idx="3">
                  <c:v>1060727.3683435521</c:v>
                </c:pt>
                <c:pt idx="4">
                  <c:v>1103156.4630772942</c:v>
                </c:pt>
              </c:numCache>
            </c:numRef>
          </c:val>
          <c:smooth val="0"/>
          <c:extLst xmlns:c15="http://schemas.microsoft.com/office/drawing/2012/chart">
            <c:ext xmlns:c16="http://schemas.microsoft.com/office/drawing/2014/chart" uri="{C3380CC4-5D6E-409C-BE32-E72D297353CC}">
              <c16:uniqueId val="{00000001-24CE-40B8-B404-B754A084A434}"/>
            </c:ext>
          </c:extLst>
        </c:ser>
        <c:dLbls>
          <c:showLegendKey val="0"/>
          <c:showVal val="0"/>
          <c:showCatName val="0"/>
          <c:showSerName val="0"/>
          <c:showPercent val="0"/>
          <c:showBubbleSize val="0"/>
        </c:dLbls>
        <c:marker val="1"/>
        <c:smooth val="0"/>
        <c:axId val="945492928"/>
        <c:axId val="945492448"/>
        <c:extLst>
          <c:ext xmlns:c15="http://schemas.microsoft.com/office/drawing/2012/chart" uri="{02D57815-91ED-43cb-92C2-25804820EDAC}">
            <c15:filteredLineSeries>
              <c15:ser>
                <c:idx val="2"/>
                <c:order val="2"/>
                <c:tx>
                  <c:strRef>
                    <c:extLst>
                      <c:ext uri="{02D57815-91ED-43cb-92C2-25804820EDAC}">
                        <c15:formulaRef>
                          <c15:sqref>Forecast!$C$12</c15:sqref>
                        </c15:formulaRef>
                      </c:ext>
                    </c:extLst>
                    <c:strCache>
                      <c:ptCount val="1"/>
                      <c:pt idx="0">
                        <c:v>Revenue Growth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extLst>
                      <c:ext uri="{02D57815-91ED-43cb-92C2-25804820EDAC}">
                        <c15:formulaRef>
                          <c15:sqref>Forecast!$C$13:$C$17</c15:sqref>
                        </c15:formulaRef>
                      </c:ext>
                    </c:extLst>
                    <c:numCache>
                      <c:formatCode>0%</c:formatCode>
                      <c:ptCount val="5"/>
                      <c:pt idx="0">
                        <c:v>0.02</c:v>
                      </c:pt>
                      <c:pt idx="1">
                        <c:v>0.02</c:v>
                      </c:pt>
                      <c:pt idx="2">
                        <c:v>0.02</c:v>
                      </c:pt>
                      <c:pt idx="3">
                        <c:v>0.02</c:v>
                      </c:pt>
                      <c:pt idx="4">
                        <c:v>0.02</c:v>
                      </c:pt>
                    </c:numCache>
                  </c:numRef>
                </c:val>
                <c:smooth val="0"/>
                <c:extLst>
                  <c:ext xmlns:c16="http://schemas.microsoft.com/office/drawing/2014/chart" uri="{C3380CC4-5D6E-409C-BE32-E72D297353CC}">
                    <c16:uniqueId val="{00000002-24CE-40B8-B404-B754A084A43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Forecast!$D$12</c15:sqref>
                        </c15:formulaRef>
                      </c:ext>
                    </c:extLst>
                    <c:strCache>
                      <c:ptCount val="1"/>
                      <c:pt idx="0">
                        <c:v>CPI Multiplier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extLst xmlns:c15="http://schemas.microsoft.com/office/drawing/2012/chart">
                      <c:ext xmlns:c15="http://schemas.microsoft.com/office/drawing/2012/chart" uri="{02D57815-91ED-43cb-92C2-25804820EDAC}">
                        <c15:formulaRef>
                          <c15:sqref>Forecast!$D$13:$D$17</c15:sqref>
                        </c15:formulaRef>
                      </c:ext>
                    </c:extLst>
                    <c:numCache>
                      <c:formatCode>#,##0.00_);\(#,##0.00\ \)</c:formatCode>
                      <c:ptCount val="5"/>
                      <c:pt idx="0">
                        <c:v>0.99</c:v>
                      </c:pt>
                      <c:pt idx="1">
                        <c:v>0.98</c:v>
                      </c:pt>
                      <c:pt idx="2">
                        <c:v>0.97</c:v>
                      </c:pt>
                      <c:pt idx="3">
                        <c:v>0.96</c:v>
                      </c:pt>
                      <c:pt idx="4">
                        <c:v>0.95</c:v>
                      </c:pt>
                    </c:numCache>
                  </c:numRef>
                </c:val>
                <c:smooth val="0"/>
                <c:extLst xmlns:c15="http://schemas.microsoft.com/office/drawing/2012/chart">
                  <c:ext xmlns:c16="http://schemas.microsoft.com/office/drawing/2014/chart" uri="{C3380CC4-5D6E-409C-BE32-E72D297353CC}">
                    <c16:uniqueId val="{00000003-24CE-40B8-B404-B754A084A43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Forecast!$E$12</c15:sqref>
                        </c15:formulaRef>
                      </c:ext>
                    </c:extLst>
                    <c:strCache>
                      <c:ptCount val="1"/>
                      <c:pt idx="0">
                        <c:v>Projected nominal Revenue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extLst xmlns:c15="http://schemas.microsoft.com/office/drawing/2012/chart">
                      <c:ext xmlns:c15="http://schemas.microsoft.com/office/drawing/2012/chart" uri="{02D57815-91ED-43cb-92C2-25804820EDAC}">
                        <c15:formulaRef>
                          <c15:sqref>Forecast!$E$13:$E$17</c15:sqref>
                        </c15:formulaRef>
                      </c:ext>
                    </c:extLst>
                    <c:numCache>
                      <c:formatCode>#,##0.0_);\(#,##0.0\ \)</c:formatCode>
                      <c:ptCount val="5"/>
                      <c:pt idx="0">
                        <c:v>21445.704000000002</c:v>
                      </c:pt>
                      <c:pt idx="1">
                        <c:v>21874.61808</c:v>
                      </c:pt>
                      <c:pt idx="2">
                        <c:v>22312.110441600002</c:v>
                      </c:pt>
                      <c:pt idx="3">
                        <c:v>22758.352650432003</c:v>
                      </c:pt>
                      <c:pt idx="4">
                        <c:v>23213.519703440645</c:v>
                      </c:pt>
                    </c:numCache>
                  </c:numRef>
                </c:val>
                <c:smooth val="0"/>
                <c:extLst xmlns:c15="http://schemas.microsoft.com/office/drawing/2012/chart">
                  <c:ext xmlns:c16="http://schemas.microsoft.com/office/drawing/2014/chart" uri="{C3380CC4-5D6E-409C-BE32-E72D297353CC}">
                    <c16:uniqueId val="{00000004-24CE-40B8-B404-B754A084A43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Forecast!$G$12</c15:sqref>
                        </c15:formulaRef>
                      </c:ext>
                    </c:extLst>
                    <c:strCache>
                      <c:ptCount val="1"/>
                      <c:pt idx="0">
                        <c:v>Market Share (%)</c:v>
                      </c:pt>
                    </c:strCache>
                  </c:strRef>
                </c:tx>
                <c:spPr>
                  <a:ln w="28575" cap="rnd">
                    <a:solidFill>
                      <a:schemeClr val="accent1">
                        <a:lumMod val="60000"/>
                      </a:schemeClr>
                    </a:solidFill>
                    <a:round/>
                  </a:ln>
                  <a:effectLst/>
                </c:spPr>
                <c:marker>
                  <c:symbol val="none"/>
                </c:marker>
                <c:val>
                  <c:numRef>
                    <c:extLst xmlns:c15="http://schemas.microsoft.com/office/drawing/2012/chart">
                      <c:ext xmlns:c15="http://schemas.microsoft.com/office/drawing/2012/chart" uri="{02D57815-91ED-43cb-92C2-25804820EDAC}">
                        <c15:formulaRef>
                          <c15:sqref>Forecast!$G$13:$G$17</c15:sqref>
                        </c15:formulaRef>
                      </c:ext>
                    </c:extLst>
                    <c:numCache>
                      <c:formatCode>0.00%</c:formatCode>
                      <c:ptCount val="5"/>
                      <c:pt idx="0">
                        <c:v>2.2972134812889046E-2</c:v>
                      </c:pt>
                      <c:pt idx="1">
                        <c:v>2.2760264652723072E-2</c:v>
                      </c:pt>
                      <c:pt idx="2">
                        <c:v>2.2552696814890943E-2</c:v>
                      </c:pt>
                      <c:pt idx="3">
                        <c:v>2.2349397264275941E-2</c:v>
                      </c:pt>
                      <c:pt idx="4">
                        <c:v>2.2150333806861343E-2</c:v>
                      </c:pt>
                    </c:numCache>
                  </c:numRef>
                </c:val>
                <c:smooth val="0"/>
                <c:extLst xmlns:c15="http://schemas.microsoft.com/office/drawing/2012/chart">
                  <c:ext xmlns:c16="http://schemas.microsoft.com/office/drawing/2014/chart" uri="{C3380CC4-5D6E-409C-BE32-E72D297353CC}">
                    <c16:uniqueId val="{00000001-CAB6-48FF-BB63-371941FCD36F}"/>
                  </c:ext>
                </c:extLst>
              </c15:ser>
            </c15:filteredLineSeries>
          </c:ext>
        </c:extLst>
      </c:lineChart>
      <c:catAx>
        <c:axId val="125365640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57360"/>
        <c:crosses val="autoZero"/>
        <c:auto val="1"/>
        <c:lblAlgn val="ctr"/>
        <c:lblOffset val="100"/>
        <c:noMultiLvlLbl val="0"/>
      </c:catAx>
      <c:valAx>
        <c:axId val="1253657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Projected</a:t>
                </a:r>
                <a:r>
                  <a:rPr lang="en-IN" baseline="0"/>
                  <a:t> Global Fast Food Market size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_);\(#,##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56400"/>
        <c:crosses val="autoZero"/>
        <c:crossBetween val="between"/>
      </c:valAx>
      <c:valAx>
        <c:axId val="9454924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Adjusted</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_);\(#,##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92928"/>
        <c:crosses val="max"/>
        <c:crossBetween val="between"/>
      </c:valAx>
      <c:catAx>
        <c:axId val="945492928"/>
        <c:scaling>
          <c:orientation val="minMax"/>
        </c:scaling>
        <c:delete val="1"/>
        <c:axPos val="b"/>
        <c:numFmt formatCode="General" sourceLinked="1"/>
        <c:majorTickMark val="out"/>
        <c:minorTickMark val="none"/>
        <c:tickLblPos val="nextTo"/>
        <c:crossAx val="9454924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Pandemic</a:t>
            </a:r>
            <a:r>
              <a:rPr lang="en-IN" baseline="0"/>
              <a:t> Disruption (2019-2023)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1"/>
          <c:order val="1"/>
          <c:tx>
            <c:strRef>
              <c:f>Forecast!$J$12</c:f>
              <c:strCache>
                <c:ptCount val="1"/>
                <c:pt idx="0">
                  <c:v>Projected Market size (1.5%)</c:v>
                </c:pt>
              </c:strCache>
            </c:strRef>
          </c:tx>
          <c:spPr>
            <a:ln w="28575" cap="rnd">
              <a:solidFill>
                <a:schemeClr val="accent2"/>
              </a:solidFill>
              <a:round/>
            </a:ln>
            <a:effectLst/>
          </c:spPr>
          <c:marker>
            <c:symbol val="circle"/>
            <c:size val="5"/>
            <c:spPr>
              <a:solidFill>
                <a:schemeClr val="accent1">
                  <a:lumMod val="60000"/>
                  <a:lumOff val="40000"/>
                </a:schemeClr>
              </a:solidFill>
              <a:ln w="9525">
                <a:solidFill>
                  <a:schemeClr val="accent2"/>
                </a:solidFill>
              </a:ln>
              <a:effectLst/>
            </c:spPr>
          </c:marker>
          <c:dPt>
            <c:idx val="1"/>
            <c:marker>
              <c:symbol val="circle"/>
              <c:size val="5"/>
              <c:spPr>
                <a:solidFill>
                  <a:schemeClr val="accent1">
                    <a:lumMod val="60000"/>
                    <a:lumOff val="40000"/>
                  </a:schemeClr>
                </a:solidFill>
                <a:ln w="9525">
                  <a:solidFill>
                    <a:schemeClr val="accent2"/>
                  </a:solidFill>
                </a:ln>
                <a:effectLst/>
              </c:spPr>
            </c:marker>
            <c:bubble3D val="0"/>
            <c:spPr>
              <a:ln w="28575" cap="rnd">
                <a:solidFill>
                  <a:schemeClr val="accent1">
                    <a:lumMod val="60000"/>
                    <a:lumOff val="40000"/>
                  </a:schemeClr>
                </a:solidFill>
                <a:round/>
              </a:ln>
              <a:effectLst/>
            </c:spPr>
            <c:extLst>
              <c:ext xmlns:c16="http://schemas.microsoft.com/office/drawing/2014/chart" uri="{C3380CC4-5D6E-409C-BE32-E72D297353CC}">
                <c16:uniqueId val="{00000001-1673-401C-8E25-178DB63FD24D}"/>
              </c:ext>
            </c:extLst>
          </c:dPt>
          <c:dPt>
            <c:idx val="2"/>
            <c:marker>
              <c:symbol val="circle"/>
              <c:size val="5"/>
              <c:spPr>
                <a:solidFill>
                  <a:schemeClr val="accent1">
                    <a:lumMod val="60000"/>
                    <a:lumOff val="40000"/>
                  </a:schemeClr>
                </a:solidFill>
                <a:ln w="9525">
                  <a:solidFill>
                    <a:schemeClr val="accent2"/>
                  </a:solidFill>
                </a:ln>
                <a:effectLst/>
              </c:spPr>
            </c:marker>
            <c:bubble3D val="0"/>
            <c:spPr>
              <a:ln w="28575" cap="rnd">
                <a:solidFill>
                  <a:schemeClr val="accent1">
                    <a:lumMod val="60000"/>
                    <a:lumOff val="40000"/>
                  </a:schemeClr>
                </a:solidFill>
                <a:round/>
              </a:ln>
              <a:effectLst/>
            </c:spPr>
            <c:extLst>
              <c:ext xmlns:c16="http://schemas.microsoft.com/office/drawing/2014/chart" uri="{C3380CC4-5D6E-409C-BE32-E72D297353CC}">
                <c16:uniqueId val="{00000006-A1B9-432C-941E-926DABFABDDA}"/>
              </c:ext>
            </c:extLst>
          </c:dPt>
          <c:dPt>
            <c:idx val="3"/>
            <c:marker>
              <c:symbol val="circle"/>
              <c:size val="5"/>
              <c:spPr>
                <a:solidFill>
                  <a:schemeClr val="accent1">
                    <a:lumMod val="60000"/>
                    <a:lumOff val="40000"/>
                  </a:schemeClr>
                </a:solidFill>
                <a:ln w="9525">
                  <a:solidFill>
                    <a:schemeClr val="accent2"/>
                  </a:solidFill>
                </a:ln>
                <a:effectLst/>
              </c:spPr>
            </c:marker>
            <c:bubble3D val="0"/>
            <c:spPr>
              <a:ln w="28575" cap="rnd">
                <a:solidFill>
                  <a:schemeClr val="accent1">
                    <a:lumMod val="60000"/>
                    <a:lumOff val="40000"/>
                  </a:schemeClr>
                </a:solidFill>
                <a:round/>
              </a:ln>
              <a:effectLst/>
            </c:spPr>
            <c:extLst>
              <c:ext xmlns:c16="http://schemas.microsoft.com/office/drawing/2014/chart" uri="{C3380CC4-5D6E-409C-BE32-E72D297353CC}">
                <c16:uniqueId val="{00000007-A1B9-432C-941E-926DABFABDDA}"/>
              </c:ext>
            </c:extLst>
          </c:dPt>
          <c:dPt>
            <c:idx val="4"/>
            <c:marker>
              <c:symbol val="circle"/>
              <c:size val="5"/>
              <c:spPr>
                <a:solidFill>
                  <a:schemeClr val="accent1">
                    <a:lumMod val="60000"/>
                    <a:lumOff val="40000"/>
                  </a:schemeClr>
                </a:solidFill>
                <a:ln w="9525">
                  <a:solidFill>
                    <a:schemeClr val="accent2"/>
                  </a:solidFill>
                </a:ln>
                <a:effectLst/>
              </c:spPr>
            </c:marker>
            <c:bubble3D val="0"/>
            <c:spPr>
              <a:ln w="28575" cap="rnd">
                <a:solidFill>
                  <a:schemeClr val="accent1">
                    <a:lumMod val="60000"/>
                    <a:lumOff val="40000"/>
                  </a:schemeClr>
                </a:solidFill>
                <a:round/>
              </a:ln>
              <a:effectLst/>
            </c:spPr>
            <c:extLst>
              <c:ext xmlns:c16="http://schemas.microsoft.com/office/drawing/2014/chart" uri="{C3380CC4-5D6E-409C-BE32-E72D297353CC}">
                <c16:uniqueId val="{00000008-A1B9-432C-941E-926DABFABDDA}"/>
              </c:ext>
            </c:extLst>
          </c:dPt>
          <c:cat>
            <c:numRef>
              <c:f>Forecast!$I$13:$I$17</c:f>
              <c:numCache>
                <c:formatCode>0</c:formatCode>
                <c:ptCount val="5"/>
                <c:pt idx="0">
                  <c:v>2019</c:v>
                </c:pt>
                <c:pt idx="1">
                  <c:v>2020</c:v>
                </c:pt>
                <c:pt idx="2">
                  <c:v>2021</c:v>
                </c:pt>
                <c:pt idx="3">
                  <c:v>2022</c:v>
                </c:pt>
                <c:pt idx="4">
                  <c:v>2023</c:v>
                </c:pt>
              </c:numCache>
            </c:numRef>
          </c:cat>
          <c:val>
            <c:numRef>
              <c:f>Forecast!$J$13:$J$17</c:f>
              <c:numCache>
                <c:formatCode>#,##0.0_);\(#,##0.0\ \)</c:formatCode>
                <c:ptCount val="5"/>
                <c:pt idx="0">
                  <c:v>920314.91299999983</c:v>
                </c:pt>
                <c:pt idx="1">
                  <c:v>934119.63669499976</c:v>
                </c:pt>
                <c:pt idx="2">
                  <c:v>948131.43124542467</c:v>
                </c:pt>
                <c:pt idx="3">
                  <c:v>962353.40271410591</c:v>
                </c:pt>
                <c:pt idx="4">
                  <c:v>976788.70375481737</c:v>
                </c:pt>
              </c:numCache>
            </c:numRef>
          </c:val>
          <c:smooth val="0"/>
          <c:extLst xmlns:c15="http://schemas.microsoft.com/office/drawing/2012/chart">
            <c:ext xmlns:c16="http://schemas.microsoft.com/office/drawing/2014/chart" uri="{C3380CC4-5D6E-409C-BE32-E72D297353CC}">
              <c16:uniqueId val="{00000001-3C20-4263-A42D-D7D67B8EE85F}"/>
            </c:ext>
          </c:extLst>
        </c:ser>
        <c:ser>
          <c:idx val="2"/>
          <c:order val="2"/>
          <c:tx>
            <c:strRef>
              <c:f>Forecast!$K$12</c:f>
              <c:strCache>
                <c:ptCount val="1"/>
                <c:pt idx="0">
                  <c:v>Hindsight Scenario for Market size (2%)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Forecast!$I$13:$I$17</c:f>
              <c:numCache>
                <c:formatCode>0</c:formatCode>
                <c:ptCount val="5"/>
                <c:pt idx="0">
                  <c:v>2019</c:v>
                </c:pt>
                <c:pt idx="1">
                  <c:v>2020</c:v>
                </c:pt>
                <c:pt idx="2">
                  <c:v>2021</c:v>
                </c:pt>
                <c:pt idx="3">
                  <c:v>2022</c:v>
                </c:pt>
                <c:pt idx="4">
                  <c:v>2023</c:v>
                </c:pt>
              </c:numCache>
            </c:numRef>
          </c:cat>
          <c:val>
            <c:numRef>
              <c:f>Forecast!$K$13:$K$17</c:f>
              <c:numCache>
                <c:formatCode>#,##0.0_);\(#,##0.0\ \)</c:formatCode>
                <c:ptCount val="5"/>
                <c:pt idx="0">
                  <c:v>924848.48399999994</c:v>
                </c:pt>
                <c:pt idx="1">
                  <c:v>943345.45367999992</c:v>
                </c:pt>
                <c:pt idx="2">
                  <c:v>962212.36275359988</c:v>
                </c:pt>
                <c:pt idx="3">
                  <c:v>981456.61000867188</c:v>
                </c:pt>
                <c:pt idx="4">
                  <c:v>1001085.7422088453</c:v>
                </c:pt>
              </c:numCache>
            </c:numRef>
          </c:val>
          <c:smooth val="0"/>
          <c:extLst>
            <c:ext xmlns:c16="http://schemas.microsoft.com/office/drawing/2014/chart" uri="{C3380CC4-5D6E-409C-BE32-E72D297353CC}">
              <c16:uniqueId val="{00000000-A1B9-432C-941E-926DABFABDDA}"/>
            </c:ext>
          </c:extLst>
        </c:ser>
        <c:dLbls>
          <c:showLegendKey val="0"/>
          <c:showVal val="0"/>
          <c:showCatName val="0"/>
          <c:showSerName val="0"/>
          <c:showPercent val="0"/>
          <c:showBubbleSize val="0"/>
        </c:dLbls>
        <c:marker val="1"/>
        <c:smooth val="0"/>
        <c:axId val="1253633840"/>
        <c:axId val="1253631440"/>
        <c:extLst>
          <c:ext xmlns:c15="http://schemas.microsoft.com/office/drawing/2012/chart" uri="{02D57815-91ED-43cb-92C2-25804820EDAC}">
            <c15:filteredLineSeries>
              <c15:ser>
                <c:idx val="0"/>
                <c:order val="0"/>
                <c:tx>
                  <c:strRef>
                    <c:extLst>
                      <c:ext uri="{02D57815-91ED-43cb-92C2-25804820EDAC}">
                        <c15:formulaRef>
                          <c15:sqref>Forecast!$I$12</c15:sqref>
                        </c15:formulaRef>
                      </c:ext>
                    </c:extLst>
                    <c:strCache>
                      <c:ptCount val="1"/>
                      <c:pt idx="0">
                        <c:v>Year</c:v>
                      </c:pt>
                    </c:strCache>
                  </c:strRef>
                </c:tx>
                <c:spPr>
                  <a:ln w="28575" cap="rnd">
                    <a:solidFill>
                      <a:schemeClr val="accent1"/>
                    </a:solidFill>
                    <a:round/>
                  </a:ln>
                  <a:effectLst/>
                </c:spPr>
                <c:marker>
                  <c:symbol val="circle"/>
                  <c:size val="5"/>
                  <c:spPr>
                    <a:solidFill>
                      <a:schemeClr val="accent1">
                        <a:lumMod val="60000"/>
                        <a:lumOff val="40000"/>
                      </a:schemeClr>
                    </a:solidFill>
                    <a:ln w="9525">
                      <a:solidFill>
                        <a:schemeClr val="accent1"/>
                      </a:solidFill>
                    </a:ln>
                    <a:effectLst/>
                  </c:spPr>
                </c:marker>
                <c:cat>
                  <c:numRef>
                    <c:extLst>
                      <c:ext uri="{02D57815-91ED-43cb-92C2-25804820EDAC}">
                        <c15:formulaRef>
                          <c15:sqref>Forecast!$I$13:$I$17</c15:sqref>
                        </c15:formulaRef>
                      </c:ext>
                    </c:extLst>
                    <c:numCache>
                      <c:formatCode>0</c:formatCode>
                      <c:ptCount val="5"/>
                      <c:pt idx="0">
                        <c:v>2019</c:v>
                      </c:pt>
                      <c:pt idx="1">
                        <c:v>2020</c:v>
                      </c:pt>
                      <c:pt idx="2">
                        <c:v>2021</c:v>
                      </c:pt>
                      <c:pt idx="3">
                        <c:v>2022</c:v>
                      </c:pt>
                      <c:pt idx="4">
                        <c:v>2023</c:v>
                      </c:pt>
                    </c:numCache>
                  </c:numRef>
                </c:cat>
                <c:val>
                  <c:numRef>
                    <c:extLst>
                      <c:ext uri="{02D57815-91ED-43cb-92C2-25804820EDAC}">
                        <c15:formulaRef>
                          <c15:sqref>Forecast!$I$13:$I$17</c15:sqref>
                        </c15:formulaRef>
                      </c:ext>
                    </c:extLst>
                    <c:numCache>
                      <c:formatCode>0</c:formatCode>
                      <c:ptCount val="5"/>
                      <c:pt idx="0">
                        <c:v>2019</c:v>
                      </c:pt>
                      <c:pt idx="1">
                        <c:v>2020</c:v>
                      </c:pt>
                      <c:pt idx="2">
                        <c:v>2021</c:v>
                      </c:pt>
                      <c:pt idx="3">
                        <c:v>2022</c:v>
                      </c:pt>
                      <c:pt idx="4">
                        <c:v>2023</c:v>
                      </c:pt>
                    </c:numCache>
                  </c:numRef>
                </c:val>
                <c:smooth val="0"/>
                <c:extLst>
                  <c:ext xmlns:c16="http://schemas.microsoft.com/office/drawing/2014/chart" uri="{C3380CC4-5D6E-409C-BE32-E72D297353CC}">
                    <c16:uniqueId val="{00000000-3C20-4263-A42D-D7D67B8EE85F}"/>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Forecast!$L$12</c15:sqref>
                        </c15:formulaRef>
                      </c:ext>
                    </c:extLst>
                    <c:strCache>
                      <c:ptCount val="1"/>
                      <c:pt idx="0">
                        <c:v>Revenue Growth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xmlns:c15="http://schemas.microsoft.com/office/drawing/2012/chart">
                      <c:ext xmlns:c15="http://schemas.microsoft.com/office/drawing/2012/chart" uri="{02D57815-91ED-43cb-92C2-25804820EDAC}">
                        <c15:formulaRef>
                          <c15:sqref>Forecast!$I$13:$I$17</c15:sqref>
                        </c15:formulaRef>
                      </c:ext>
                    </c:extLst>
                    <c:numCache>
                      <c:formatCode>0</c:formatCode>
                      <c:ptCount val="5"/>
                      <c:pt idx="0">
                        <c:v>2019</c:v>
                      </c:pt>
                      <c:pt idx="1">
                        <c:v>2020</c:v>
                      </c:pt>
                      <c:pt idx="2">
                        <c:v>2021</c:v>
                      </c:pt>
                      <c:pt idx="3">
                        <c:v>2022</c:v>
                      </c:pt>
                      <c:pt idx="4">
                        <c:v>2023</c:v>
                      </c:pt>
                    </c:numCache>
                  </c:numRef>
                </c:cat>
                <c:val>
                  <c:numRef>
                    <c:extLst xmlns:c15="http://schemas.microsoft.com/office/drawing/2012/chart">
                      <c:ext xmlns:c15="http://schemas.microsoft.com/office/drawing/2012/chart" uri="{02D57815-91ED-43cb-92C2-25804820EDAC}">
                        <c15:formulaRef>
                          <c15:sqref>Forecast!$L$13:$L$17</c15:sqref>
                        </c15:formulaRef>
                      </c:ext>
                    </c:extLst>
                    <c:numCache>
                      <c:formatCode>0%</c:formatCode>
                      <c:ptCount val="5"/>
                      <c:pt idx="0">
                        <c:v>0.05</c:v>
                      </c:pt>
                      <c:pt idx="1">
                        <c:v>-0.1</c:v>
                      </c:pt>
                      <c:pt idx="2">
                        <c:v>-0.14000000000000001</c:v>
                      </c:pt>
                      <c:pt idx="3">
                        <c:v>0.08</c:v>
                      </c:pt>
                      <c:pt idx="4">
                        <c:v>0.05</c:v>
                      </c:pt>
                    </c:numCache>
                  </c:numRef>
                </c:val>
                <c:smooth val="0"/>
                <c:extLst xmlns:c15="http://schemas.microsoft.com/office/drawing/2012/chart">
                  <c:ext xmlns:c16="http://schemas.microsoft.com/office/drawing/2014/chart" uri="{C3380CC4-5D6E-409C-BE32-E72D297353CC}">
                    <c16:uniqueId val="{00000001-A1B9-432C-941E-926DABFABDDA}"/>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Forecast!$M$12</c15:sqref>
                        </c15:formulaRef>
                      </c:ext>
                    </c:extLst>
                    <c:strCache>
                      <c:ptCount val="1"/>
                      <c:pt idx="0">
                        <c:v>CPI Multiplier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extLst xmlns:c15="http://schemas.microsoft.com/office/drawing/2012/chart">
                      <c:ext xmlns:c15="http://schemas.microsoft.com/office/drawing/2012/chart" uri="{02D57815-91ED-43cb-92C2-25804820EDAC}">
                        <c15:formulaRef>
                          <c15:sqref>Forecast!$I$13:$I$17</c15:sqref>
                        </c15:formulaRef>
                      </c:ext>
                    </c:extLst>
                    <c:numCache>
                      <c:formatCode>0</c:formatCode>
                      <c:ptCount val="5"/>
                      <c:pt idx="0">
                        <c:v>2019</c:v>
                      </c:pt>
                      <c:pt idx="1">
                        <c:v>2020</c:v>
                      </c:pt>
                      <c:pt idx="2">
                        <c:v>2021</c:v>
                      </c:pt>
                      <c:pt idx="3">
                        <c:v>2022</c:v>
                      </c:pt>
                      <c:pt idx="4">
                        <c:v>2023</c:v>
                      </c:pt>
                    </c:numCache>
                  </c:numRef>
                </c:cat>
                <c:val>
                  <c:numRef>
                    <c:extLst xmlns:c15="http://schemas.microsoft.com/office/drawing/2012/chart">
                      <c:ext xmlns:c15="http://schemas.microsoft.com/office/drawing/2012/chart" uri="{02D57815-91ED-43cb-92C2-25804820EDAC}">
                        <c15:formulaRef>
                          <c15:sqref>Forecast!$M$13:$M$17</c15:sqref>
                        </c15:formulaRef>
                      </c:ext>
                    </c:extLst>
                    <c:numCache>
                      <c:formatCode>#,##0.00_);\(#,##0.00\ \)</c:formatCode>
                      <c:ptCount val="5"/>
                      <c:pt idx="0">
                        <c:v>0.99</c:v>
                      </c:pt>
                      <c:pt idx="1">
                        <c:v>0.98</c:v>
                      </c:pt>
                      <c:pt idx="2">
                        <c:v>0.97</c:v>
                      </c:pt>
                      <c:pt idx="3">
                        <c:v>0.96</c:v>
                      </c:pt>
                      <c:pt idx="4">
                        <c:v>0.95</c:v>
                      </c:pt>
                    </c:numCache>
                  </c:numRef>
                </c:val>
                <c:smooth val="0"/>
                <c:extLst xmlns:c15="http://schemas.microsoft.com/office/drawing/2012/chart">
                  <c:ext xmlns:c16="http://schemas.microsoft.com/office/drawing/2014/chart" uri="{C3380CC4-5D6E-409C-BE32-E72D297353CC}">
                    <c16:uniqueId val="{00000002-A1B9-432C-941E-926DABFABDDA}"/>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Forecast!$N$12</c15:sqref>
                        </c15:formulaRef>
                      </c:ext>
                    </c:extLst>
                    <c:strCache>
                      <c:ptCount val="1"/>
                      <c:pt idx="0">
                        <c:v>Projected nominal Revenue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Forecast!$I$13:$I$17</c15:sqref>
                        </c15:formulaRef>
                      </c:ext>
                    </c:extLst>
                    <c:numCache>
                      <c:formatCode>0</c:formatCode>
                      <c:ptCount val="5"/>
                      <c:pt idx="0">
                        <c:v>2019</c:v>
                      </c:pt>
                      <c:pt idx="1">
                        <c:v>2020</c:v>
                      </c:pt>
                      <c:pt idx="2">
                        <c:v>2021</c:v>
                      </c:pt>
                      <c:pt idx="3">
                        <c:v>2022</c:v>
                      </c:pt>
                      <c:pt idx="4">
                        <c:v>2023</c:v>
                      </c:pt>
                    </c:numCache>
                  </c:numRef>
                </c:cat>
                <c:val>
                  <c:numRef>
                    <c:extLst xmlns:c15="http://schemas.microsoft.com/office/drawing/2012/chart">
                      <c:ext xmlns:c15="http://schemas.microsoft.com/office/drawing/2012/chart" uri="{02D57815-91ED-43cb-92C2-25804820EDAC}">
                        <c15:formulaRef>
                          <c15:sqref>Forecast!$N$13:$N$17</c15:sqref>
                        </c15:formulaRef>
                      </c:ext>
                    </c:extLst>
                    <c:numCache>
                      <c:formatCode>#,##0.0_);\(#,##0.0\ \)</c:formatCode>
                      <c:ptCount val="5"/>
                      <c:pt idx="0">
                        <c:v>22076.460000000003</c:v>
                      </c:pt>
                      <c:pt idx="1">
                        <c:v>19868.814000000002</c:v>
                      </c:pt>
                      <c:pt idx="2">
                        <c:v>17087.180040000003</c:v>
                      </c:pt>
                      <c:pt idx="3">
                        <c:v>18454.154443200005</c:v>
                      </c:pt>
                      <c:pt idx="4">
                        <c:v>19376.862165360006</c:v>
                      </c:pt>
                    </c:numCache>
                  </c:numRef>
                </c:val>
                <c:smooth val="0"/>
                <c:extLst xmlns:c15="http://schemas.microsoft.com/office/drawing/2012/chart">
                  <c:ext xmlns:c16="http://schemas.microsoft.com/office/drawing/2014/chart" uri="{C3380CC4-5D6E-409C-BE32-E72D297353CC}">
                    <c16:uniqueId val="{00000003-A1B9-432C-941E-926DABFABDDA}"/>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Forecast!$P$12</c15:sqref>
                        </c15:formulaRef>
                      </c:ext>
                    </c:extLst>
                    <c:strCache>
                      <c:ptCount val="1"/>
                      <c:pt idx="0">
                        <c:v>Market Share (%)</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Forecast!$I$13:$I$17</c15:sqref>
                        </c15:formulaRef>
                      </c:ext>
                    </c:extLst>
                    <c:numCache>
                      <c:formatCode>0</c:formatCode>
                      <c:ptCount val="5"/>
                      <c:pt idx="0">
                        <c:v>2019</c:v>
                      </c:pt>
                      <c:pt idx="1">
                        <c:v>2020</c:v>
                      </c:pt>
                      <c:pt idx="2">
                        <c:v>2021</c:v>
                      </c:pt>
                      <c:pt idx="3">
                        <c:v>2022</c:v>
                      </c:pt>
                      <c:pt idx="4">
                        <c:v>2023</c:v>
                      </c:pt>
                    </c:numCache>
                  </c:numRef>
                </c:cat>
                <c:val>
                  <c:numRef>
                    <c:extLst xmlns:c15="http://schemas.microsoft.com/office/drawing/2012/chart">
                      <c:ext xmlns:c15="http://schemas.microsoft.com/office/drawing/2012/chart" uri="{02D57815-91ED-43cb-92C2-25804820EDAC}">
                        <c15:formulaRef>
                          <c15:sqref>Forecast!$P$13:$P$17</c15:sqref>
                        </c15:formulaRef>
                      </c:ext>
                    </c:extLst>
                    <c:numCache>
                      <c:formatCode>0.00%</c:formatCode>
                      <c:ptCount val="5"/>
                      <c:pt idx="0">
                        <c:v>2.4230243616029018E-2</c:v>
                      </c:pt>
                      <c:pt idx="1">
                        <c:v>2.1704179211703888E-2</c:v>
                      </c:pt>
                      <c:pt idx="2">
                        <c:v>1.8579332933445776E-2</c:v>
                      </c:pt>
                      <c:pt idx="3">
                        <c:v>1.9975070998643062E-2</c:v>
                      </c:pt>
                      <c:pt idx="4">
                        <c:v>2.0881380935060631E-2</c:v>
                      </c:pt>
                    </c:numCache>
                  </c:numRef>
                </c:val>
                <c:smooth val="0"/>
                <c:extLst xmlns:c15="http://schemas.microsoft.com/office/drawing/2012/chart">
                  <c:ext xmlns:c16="http://schemas.microsoft.com/office/drawing/2014/chart" uri="{C3380CC4-5D6E-409C-BE32-E72D297353CC}">
                    <c16:uniqueId val="{00000005-A1B9-432C-941E-926DABFABDDA}"/>
                  </c:ext>
                </c:extLst>
              </c15:ser>
            </c15:filteredLineSeries>
          </c:ext>
        </c:extLst>
      </c:lineChart>
      <c:lineChart>
        <c:grouping val="standard"/>
        <c:varyColors val="0"/>
        <c:ser>
          <c:idx val="6"/>
          <c:order val="6"/>
          <c:tx>
            <c:strRef>
              <c:f>Forecast!$O$12</c:f>
              <c:strCache>
                <c:ptCount val="1"/>
                <c:pt idx="0">
                  <c:v>Adjusted Revenue</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1">
                    <a:lumMod val="60000"/>
                  </a:schemeClr>
                </a:solidFill>
              </a:ln>
              <a:effectLst/>
            </c:spPr>
          </c:marker>
          <c:val>
            <c:numRef>
              <c:f>Forecast!$O$13:$O$17</c:f>
              <c:numCache>
                <c:formatCode>#,##0.0_);\(#,##0.0\ \)</c:formatCode>
                <c:ptCount val="5"/>
                <c:pt idx="0">
                  <c:v>22299.454545454548</c:v>
                </c:pt>
                <c:pt idx="1">
                  <c:v>20274.300000000003</c:v>
                </c:pt>
                <c:pt idx="2">
                  <c:v>17615.649525773199</c:v>
                </c:pt>
                <c:pt idx="3">
                  <c:v>19223.077545000004</c:v>
                </c:pt>
                <c:pt idx="4">
                  <c:v>20396.697016168429</c:v>
                </c:pt>
              </c:numCache>
            </c:numRef>
          </c:val>
          <c:smooth val="0"/>
          <c:extLst>
            <c:ext xmlns:c16="http://schemas.microsoft.com/office/drawing/2014/chart" uri="{C3380CC4-5D6E-409C-BE32-E72D297353CC}">
              <c16:uniqueId val="{00000004-A1B9-432C-941E-926DABFABDDA}"/>
            </c:ext>
          </c:extLst>
        </c:ser>
        <c:dLbls>
          <c:showLegendKey val="0"/>
          <c:showVal val="0"/>
          <c:showCatName val="0"/>
          <c:showSerName val="0"/>
          <c:showPercent val="0"/>
          <c:showBubbleSize val="0"/>
        </c:dLbls>
        <c:marker val="1"/>
        <c:smooth val="0"/>
        <c:axId val="515846672"/>
        <c:axId val="515862512"/>
      </c:lineChart>
      <c:catAx>
        <c:axId val="125363384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31440"/>
        <c:crosses val="autoZero"/>
        <c:auto val="1"/>
        <c:lblAlgn val="ctr"/>
        <c:lblOffset val="100"/>
        <c:noMultiLvlLbl val="0"/>
      </c:catAx>
      <c:valAx>
        <c:axId val="1253631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Projected</a:t>
                </a:r>
                <a:r>
                  <a:rPr lang="en-IN" baseline="0"/>
                  <a:t> Global Fast Food Market size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33840"/>
        <c:crosses val="autoZero"/>
        <c:crossBetween val="between"/>
      </c:valAx>
      <c:valAx>
        <c:axId val="515862512"/>
        <c:scaling>
          <c:orientation val="minMax"/>
        </c:scaling>
        <c:delete val="0"/>
        <c:axPos val="r"/>
        <c:numFmt formatCode="#,##0.0_);\(#,##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46672"/>
        <c:crosses val="max"/>
        <c:crossBetween val="between"/>
      </c:valAx>
      <c:catAx>
        <c:axId val="515846672"/>
        <c:scaling>
          <c:orientation val="minMax"/>
        </c:scaling>
        <c:delete val="1"/>
        <c:axPos val="b"/>
        <c:numFmt formatCode="0" sourceLinked="1"/>
        <c:majorTickMark val="out"/>
        <c:minorTickMark val="none"/>
        <c:tickLblPos val="nextTo"/>
        <c:crossAx val="5158625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Outcome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937279462122604E-2"/>
          <c:y val="0.11896956929029681"/>
          <c:w val="0.85252999985134337"/>
          <c:h val="0.64874113826570146"/>
        </c:manualLayout>
      </c:layout>
      <c:lineChart>
        <c:grouping val="standard"/>
        <c:varyColors val="0"/>
        <c:ser>
          <c:idx val="0"/>
          <c:order val="0"/>
          <c:tx>
            <c:strRef>
              <c:f>'Outcome Analysis'!$B$16:$B$17</c:f>
              <c:strCache>
                <c:ptCount val="2"/>
                <c:pt idx="0">
                  <c:v>Actaul Data</c:v>
                </c:pt>
                <c:pt idx="1">
                  <c:v>Global Fast-food market size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'Outcome Analysis'!$A$18:$A$27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'Outcome Analysis'!$B$18:$B$27</c:f>
              <c:numCache>
                <c:formatCode>#,##0.0_);\(#,##0.0\ \)</c:formatCode>
                <c:ptCount val="10"/>
                <c:pt idx="0">
                  <c:v>1002263.0005701144</c:v>
                </c:pt>
                <c:pt idx="1">
                  <c:v>1075278.2105127478</c:v>
                </c:pt>
                <c:pt idx="2">
                  <c:v>1119072.0125354591</c:v>
                </c:pt>
                <c:pt idx="3">
                  <c:v>1139027.4286837548</c:v>
                </c:pt>
                <c:pt idx="4">
                  <c:v>1147068.7707086159</c:v>
                </c:pt>
                <c:pt idx="5">
                  <c:v>1163230.3609174909</c:v>
                </c:pt>
                <c:pt idx="6">
                  <c:v>1107950.0995500579</c:v>
                </c:pt>
                <c:pt idx="7">
                  <c:v>1175306.7611211212</c:v>
                </c:pt>
                <c:pt idx="8">
                  <c:v>1128715.0017087813</c:v>
                </c:pt>
                <c:pt idx="9">
                  <c:v>1099410.8726971389</c:v>
                </c:pt>
              </c:numCache>
            </c:numRef>
          </c:val>
          <c:smooth val="0"/>
          <c:extLst>
            <c:ext xmlns:c16="http://schemas.microsoft.com/office/drawing/2014/chart" uri="{C3380CC4-5D6E-409C-BE32-E72D297353CC}">
              <c16:uniqueId val="{00000000-432A-47F4-816A-0C1FB0AF3FB4}"/>
            </c:ext>
          </c:extLst>
        </c:ser>
        <c:ser>
          <c:idx val="2"/>
          <c:order val="2"/>
          <c:tx>
            <c:strRef>
              <c:f>'Outcome Analysis'!$D$16:$D$17</c:f>
              <c:strCache>
                <c:ptCount val="2"/>
                <c:pt idx="0">
                  <c:v>Baseline Projection</c:v>
                </c:pt>
                <c:pt idx="1">
                  <c:v>Global Fast-food market size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'Outcome Analysis'!$A$18:$A$27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'Outcome Analysis'!$D$18:$D$27</c:f>
              <c:numCache>
                <c:formatCode>#,##0.0_);\(#,##0.0\ \)</c:formatCode>
                <c:ptCount val="10"/>
                <c:pt idx="0">
                  <c:v>1002263.0005701144</c:v>
                </c:pt>
                <c:pt idx="1">
                  <c:v>1075278.2105127478</c:v>
                </c:pt>
                <c:pt idx="2">
                  <c:v>1119072.0125354591</c:v>
                </c:pt>
                <c:pt idx="3">
                  <c:v>1139027.4286837548</c:v>
                </c:pt>
                <c:pt idx="4">
                  <c:v>1147068.7707086159</c:v>
                </c:pt>
                <c:pt idx="5">
                  <c:v>1192951.5215369605</c:v>
                </c:pt>
                <c:pt idx="6">
                  <c:v>1240669.5823984391</c:v>
                </c:pt>
                <c:pt idx="7">
                  <c:v>1290296.3656943766</c:v>
                </c:pt>
                <c:pt idx="8">
                  <c:v>1341908.2203221517</c:v>
                </c:pt>
                <c:pt idx="9">
                  <c:v>1395584.5491350377</c:v>
                </c:pt>
              </c:numCache>
            </c:numRef>
          </c:val>
          <c:smooth val="0"/>
          <c:extLst>
            <c:ext xmlns:c16="http://schemas.microsoft.com/office/drawing/2014/chart" uri="{C3380CC4-5D6E-409C-BE32-E72D297353CC}">
              <c16:uniqueId val="{00000002-432A-47F4-816A-0C1FB0AF3FB4}"/>
            </c:ext>
          </c:extLst>
        </c:ser>
        <c:ser>
          <c:idx val="4"/>
          <c:order val="4"/>
          <c:tx>
            <c:strRef>
              <c:f>'Outcome Analysis'!$F$16:$F$17</c:f>
              <c:strCache>
                <c:ptCount val="2"/>
                <c:pt idx="0">
                  <c:v>Pandemic Disruption</c:v>
                </c:pt>
                <c:pt idx="1">
                  <c:v>Global Fast-food market size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'Outcome Analysis'!$A$18:$A$27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'Outcome Analysis'!$F$18:$F$27</c:f>
              <c:numCache>
                <c:formatCode>#,##0.0_);\(#,##0.0\ \)</c:formatCode>
                <c:ptCount val="10"/>
                <c:pt idx="0">
                  <c:v>1002263.0005701144</c:v>
                </c:pt>
                <c:pt idx="1">
                  <c:v>1075278.2105127478</c:v>
                </c:pt>
                <c:pt idx="2">
                  <c:v>1119072.0125354591</c:v>
                </c:pt>
                <c:pt idx="3">
                  <c:v>1139027.4286837548</c:v>
                </c:pt>
                <c:pt idx="4">
                  <c:v>1147068.7707086159</c:v>
                </c:pt>
                <c:pt idx="5">
                  <c:v>1164274.8022692448</c:v>
                </c:pt>
                <c:pt idx="6">
                  <c:v>1181738.9243032834</c:v>
                </c:pt>
                <c:pt idx="7">
                  <c:v>1199465.0081678326</c:v>
                </c:pt>
                <c:pt idx="8">
                  <c:v>1217456.9832903498</c:v>
                </c:pt>
                <c:pt idx="9">
                  <c:v>1235718.8380397051</c:v>
                </c:pt>
              </c:numCache>
            </c:numRef>
          </c:val>
          <c:smooth val="0"/>
          <c:extLst>
            <c:ext xmlns:c16="http://schemas.microsoft.com/office/drawing/2014/chart" uri="{C3380CC4-5D6E-409C-BE32-E72D297353CC}">
              <c16:uniqueId val="{00000004-432A-47F4-816A-0C1FB0AF3FB4}"/>
            </c:ext>
          </c:extLst>
        </c:ser>
        <c:ser>
          <c:idx val="6"/>
          <c:order val="6"/>
          <c:tx>
            <c:strRef>
              <c:f>'Outcome Analysis'!$H$16:$H$17</c:f>
              <c:strCache>
                <c:ptCount val="2"/>
                <c:pt idx="0">
                  <c:v>Hindsight Scenario</c:v>
                </c:pt>
                <c:pt idx="1">
                  <c:v>Global Fast-food market size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'Outcome Analysis'!$A$18:$A$27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'Outcome Analysis'!$H$18:$H$27</c:f>
              <c:numCache>
                <c:formatCode>#,##0.0_);\(#,##0.0\ \)</c:formatCode>
                <c:ptCount val="10"/>
                <c:pt idx="0">
                  <c:v>1002263.0005701144</c:v>
                </c:pt>
                <c:pt idx="1">
                  <c:v>1075278.2105127478</c:v>
                </c:pt>
                <c:pt idx="2">
                  <c:v>1119072.0125354591</c:v>
                </c:pt>
                <c:pt idx="3">
                  <c:v>1139027.4286837548</c:v>
                </c:pt>
                <c:pt idx="4">
                  <c:v>1147068.7707086159</c:v>
                </c:pt>
                <c:pt idx="5">
                  <c:v>1170010.1461227881</c:v>
                </c:pt>
                <c:pt idx="6">
                  <c:v>1193410.3490452438</c:v>
                </c:pt>
                <c:pt idx="7">
                  <c:v>1217278.5560261486</c:v>
                </c:pt>
                <c:pt idx="8">
                  <c:v>1241624.1271466718</c:v>
                </c:pt>
                <c:pt idx="9">
                  <c:v>1266456.6096896052</c:v>
                </c:pt>
              </c:numCache>
            </c:numRef>
          </c:val>
          <c:smooth val="0"/>
          <c:extLst>
            <c:ext xmlns:c16="http://schemas.microsoft.com/office/drawing/2014/chart" uri="{C3380CC4-5D6E-409C-BE32-E72D297353CC}">
              <c16:uniqueId val="{00000006-432A-47F4-816A-0C1FB0AF3FB4}"/>
            </c:ext>
          </c:extLst>
        </c:ser>
        <c:dLbls>
          <c:showLegendKey val="0"/>
          <c:showVal val="0"/>
          <c:showCatName val="0"/>
          <c:showSerName val="0"/>
          <c:showPercent val="0"/>
          <c:showBubbleSize val="0"/>
        </c:dLbls>
        <c:marker val="1"/>
        <c:smooth val="0"/>
        <c:axId val="1254209759"/>
        <c:axId val="1254210239"/>
      </c:lineChart>
      <c:lineChart>
        <c:grouping val="standard"/>
        <c:varyColors val="0"/>
        <c:ser>
          <c:idx val="1"/>
          <c:order val="1"/>
          <c:tx>
            <c:strRef>
              <c:f>'Outcome Analysis'!$C$16:$C$17</c:f>
              <c:strCache>
                <c:ptCount val="2"/>
                <c:pt idx="0">
                  <c:v>Actaul Data</c:v>
                </c:pt>
                <c:pt idx="1">
                  <c:v>Revenues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'Outcome Analysis'!$A$18:$A$27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'Outcome Analysis'!$C$18:$C$27</c:f>
              <c:numCache>
                <c:formatCode>_ * #,##0.0_ ;_ * \-#,##0.0_ ;_ * "-"??_ ;_ @_ </c:formatCode>
                <c:ptCount val="10"/>
                <c:pt idx="0">
                  <c:v>36822.870518868753</c:v>
                </c:pt>
                <c:pt idx="1">
                  <c:v>34060.734559124445</c:v>
                </c:pt>
                <c:pt idx="2">
                  <c:v>32589.291826285753</c:v>
                </c:pt>
                <c:pt idx="3">
                  <c:v>29574.8678657866</c:v>
                </c:pt>
                <c:pt idx="4">
                  <c:v>26598.624260988512</c:v>
                </c:pt>
                <c:pt idx="5">
                  <c:v>26189.545972491182</c:v>
                </c:pt>
                <c:pt idx="6">
                  <c:v>23155.351031350398</c:v>
                </c:pt>
                <c:pt idx="7">
                  <c:v>26813.9565837146</c:v>
                </c:pt>
                <c:pt idx="8">
                  <c:v>24807.555316998772</c:v>
                </c:pt>
                <c:pt idx="9">
                  <c:v>26249.684529043308</c:v>
                </c:pt>
              </c:numCache>
            </c:numRef>
          </c:val>
          <c:smooth val="0"/>
          <c:extLst>
            <c:ext xmlns:c16="http://schemas.microsoft.com/office/drawing/2014/chart" uri="{C3380CC4-5D6E-409C-BE32-E72D297353CC}">
              <c16:uniqueId val="{00000001-432A-47F4-816A-0C1FB0AF3FB4}"/>
            </c:ext>
          </c:extLst>
        </c:ser>
        <c:ser>
          <c:idx val="3"/>
          <c:order val="3"/>
          <c:tx>
            <c:strRef>
              <c:f>'Outcome Analysis'!$E$16:$E$17</c:f>
              <c:strCache>
                <c:ptCount val="2"/>
                <c:pt idx="0">
                  <c:v>Baseline Projection</c:v>
                </c:pt>
                <c:pt idx="1">
                  <c:v>Revenues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'Outcome Analysis'!$A$18:$A$27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'Outcome Analysis'!$E$18:$E$27</c:f>
              <c:numCache>
                <c:formatCode>_ * #,##0.0_ ;_ * \-#,##0.0_ ;_ * "-"??_ ;_ @_ </c:formatCode>
                <c:ptCount val="10"/>
                <c:pt idx="0">
                  <c:v>36822.870518868753</c:v>
                </c:pt>
                <c:pt idx="1">
                  <c:v>34060.734559124445</c:v>
                </c:pt>
                <c:pt idx="2">
                  <c:v>32589.291826285753</c:v>
                </c:pt>
                <c:pt idx="3">
                  <c:v>29574.8678657866</c:v>
                </c:pt>
                <c:pt idx="4">
                  <c:v>26598.624260988512</c:v>
                </c:pt>
                <c:pt idx="5">
                  <c:v>27404.643177988168</c:v>
                </c:pt>
                <c:pt idx="6">
                  <c:v>28237.96804197189</c:v>
                </c:pt>
                <c:pt idx="7">
                  <c:v>29099.66273686093</c:v>
                </c:pt>
                <c:pt idx="8">
                  <c:v>29990.839908177295</c:v>
                </c:pt>
                <c:pt idx="9">
                  <c:v>30912.663619039169</c:v>
                </c:pt>
              </c:numCache>
            </c:numRef>
          </c:val>
          <c:smooth val="0"/>
          <c:extLst>
            <c:ext xmlns:c16="http://schemas.microsoft.com/office/drawing/2014/chart" uri="{C3380CC4-5D6E-409C-BE32-E72D297353CC}">
              <c16:uniqueId val="{00000003-432A-47F4-816A-0C1FB0AF3FB4}"/>
            </c:ext>
          </c:extLst>
        </c:ser>
        <c:ser>
          <c:idx val="5"/>
          <c:order val="5"/>
          <c:tx>
            <c:strRef>
              <c:f>'Outcome Analysis'!$G$16:$G$17</c:f>
              <c:strCache>
                <c:ptCount val="2"/>
                <c:pt idx="0">
                  <c:v>Pandemic Disruption</c:v>
                </c:pt>
                <c:pt idx="1">
                  <c:v>Revenues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'Outcome Analysis'!$A$18:$A$27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'Outcome Analysis'!$G$18:$G$27</c:f>
              <c:numCache>
                <c:formatCode>_ * #,##0.0_ ;_ * \-#,##0.0_ ;_ * "-"??_ ;_ @_ </c:formatCode>
                <c:ptCount val="10"/>
                <c:pt idx="0">
                  <c:v>36822.870518868753</c:v>
                </c:pt>
                <c:pt idx="1">
                  <c:v>34060.734559124445</c:v>
                </c:pt>
                <c:pt idx="2">
                  <c:v>32589.291826285753</c:v>
                </c:pt>
                <c:pt idx="3">
                  <c:v>29574.8678657866</c:v>
                </c:pt>
                <c:pt idx="4">
                  <c:v>26598.624260988512</c:v>
                </c:pt>
                <c:pt idx="5">
                  <c:v>28210.66209498782</c:v>
                </c:pt>
                <c:pt idx="6">
                  <c:v>25648.673394524641</c:v>
                </c:pt>
                <c:pt idx="7">
                  <c:v>22285.259728768418</c:v>
                </c:pt>
                <c:pt idx="8">
                  <c:v>24318.78967901854</c:v>
                </c:pt>
                <c:pt idx="9">
                  <c:v>25803.515785737571</c:v>
                </c:pt>
              </c:numCache>
            </c:numRef>
          </c:val>
          <c:smooth val="0"/>
          <c:extLst>
            <c:ext xmlns:c16="http://schemas.microsoft.com/office/drawing/2014/chart" uri="{C3380CC4-5D6E-409C-BE32-E72D297353CC}">
              <c16:uniqueId val="{00000005-432A-47F4-816A-0C1FB0AF3FB4}"/>
            </c:ext>
          </c:extLst>
        </c:ser>
        <c:ser>
          <c:idx val="7"/>
          <c:order val="7"/>
          <c:tx>
            <c:strRef>
              <c:f>'Outcome Analysis'!$I$16:$I$17</c:f>
              <c:strCache>
                <c:ptCount val="2"/>
                <c:pt idx="0">
                  <c:v>Hindsight Scenario</c:v>
                </c:pt>
                <c:pt idx="1">
                  <c:v>Revenues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'Outcome Analysis'!$A$18:$A$27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'Outcome Analysis'!$I$18:$I$27</c:f>
              <c:numCache>
                <c:formatCode>_ * #,##0.0_ ;_ * \-#,##0.0_ ;_ * "-"??_ ;_ @_ </c:formatCode>
                <c:ptCount val="10"/>
                <c:pt idx="0">
                  <c:v>36822.870518868753</c:v>
                </c:pt>
                <c:pt idx="1">
                  <c:v>34060.734559124445</c:v>
                </c:pt>
                <c:pt idx="2">
                  <c:v>32589.291826285753</c:v>
                </c:pt>
                <c:pt idx="3">
                  <c:v>29574.8678657866</c:v>
                </c:pt>
                <c:pt idx="4">
                  <c:v>26598.624260988512</c:v>
                </c:pt>
                <c:pt idx="5">
                  <c:v>28210.66209498782</c:v>
                </c:pt>
                <c:pt idx="6">
                  <c:v>25648.673394524641</c:v>
                </c:pt>
                <c:pt idx="7">
                  <c:v>22285.259728768418</c:v>
                </c:pt>
                <c:pt idx="8">
                  <c:v>24318.78967901854</c:v>
                </c:pt>
                <c:pt idx="9">
                  <c:v>25803.515785737571</c:v>
                </c:pt>
              </c:numCache>
            </c:numRef>
          </c:val>
          <c:smooth val="0"/>
          <c:extLst>
            <c:ext xmlns:c16="http://schemas.microsoft.com/office/drawing/2014/chart" uri="{C3380CC4-5D6E-409C-BE32-E72D297353CC}">
              <c16:uniqueId val="{00000007-432A-47F4-816A-0C1FB0AF3FB4}"/>
            </c:ext>
          </c:extLst>
        </c:ser>
        <c:dLbls>
          <c:showLegendKey val="0"/>
          <c:showVal val="0"/>
          <c:showCatName val="0"/>
          <c:showSerName val="0"/>
          <c:showPercent val="0"/>
          <c:showBubbleSize val="0"/>
        </c:dLbls>
        <c:marker val="1"/>
        <c:smooth val="0"/>
        <c:axId val="1254215999"/>
        <c:axId val="1254215519"/>
      </c:lineChart>
      <c:catAx>
        <c:axId val="125420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10239"/>
        <c:crosses val="autoZero"/>
        <c:auto val="1"/>
        <c:lblAlgn val="ctr"/>
        <c:lblOffset val="100"/>
        <c:noMultiLvlLbl val="0"/>
      </c:catAx>
      <c:valAx>
        <c:axId val="1254210239"/>
        <c:scaling>
          <c:orientation val="minMax"/>
          <c:min val="600000.00000000012"/>
        </c:scaling>
        <c:delete val="0"/>
        <c:axPos val="l"/>
        <c:majorGridlines>
          <c:spPr>
            <a:ln w="9525" cap="flat" cmpd="sng" algn="ctr">
              <a:solidFill>
                <a:schemeClr val="tx1">
                  <a:lumMod val="15000"/>
                  <a:lumOff val="85000"/>
                </a:schemeClr>
              </a:solidFill>
              <a:round/>
            </a:ln>
            <a:effectLst/>
          </c:spPr>
        </c:majorGridlines>
        <c:numFmt formatCode="#,##0.0_);\(#,##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09759"/>
        <c:crosses val="autoZero"/>
        <c:crossBetween val="between"/>
      </c:valAx>
      <c:valAx>
        <c:axId val="1254215519"/>
        <c:scaling>
          <c:orientation val="minMax"/>
          <c:min val="15000"/>
        </c:scaling>
        <c:delete val="0"/>
        <c:axPos val="r"/>
        <c:numFmt formatCode="_ * #,##0.0_ ;_ * \-#,##0.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15999"/>
        <c:crosses val="max"/>
        <c:crossBetween val="between"/>
        <c:majorUnit val="10000"/>
      </c:valAx>
      <c:catAx>
        <c:axId val="1254215999"/>
        <c:scaling>
          <c:orientation val="minMax"/>
        </c:scaling>
        <c:delete val="1"/>
        <c:axPos val="b"/>
        <c:numFmt formatCode="General" sourceLinked="1"/>
        <c:majorTickMark val="out"/>
        <c:minorTickMark val="none"/>
        <c:tickLblPos val="nextTo"/>
        <c:crossAx val="12542155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0</xdr:colOff>
      <xdr:row>15</xdr:row>
      <xdr:rowOff>0</xdr:rowOff>
    </xdr:to>
    <xdr:sp macro="" textlink="">
      <xdr:nvSpPr>
        <xdr:cNvPr id="2" name="TextBox 1">
          <a:extLst>
            <a:ext uri="{FF2B5EF4-FFF2-40B4-BE49-F238E27FC236}">
              <a16:creationId xmlns:a16="http://schemas.microsoft.com/office/drawing/2014/main" id="{07D77BAF-5960-9A3E-E3D6-B58938ED233B}"/>
            </a:ext>
          </a:extLst>
        </xdr:cNvPr>
        <xdr:cNvSpPr txBox="1"/>
      </xdr:nvSpPr>
      <xdr:spPr>
        <a:xfrm>
          <a:off x="0" y="1397000"/>
          <a:ext cx="8212667" cy="148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u="sng">
              <a:solidFill>
                <a:schemeClr val="dk1"/>
              </a:solidFill>
              <a:effectLst/>
              <a:latin typeface="+mn-lt"/>
              <a:ea typeface="+mn-ea"/>
              <a:cs typeface="+mn-cs"/>
            </a:rPr>
            <a:t>Introduction</a:t>
          </a:r>
          <a:r>
            <a:rPr lang="en-US" sz="14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This project presents a financial forecast for McDonald’s, analyzing historical data from 2014-2018 and projecting revenues through 2023 under Baseline, Pandemic Disruption, and Hindsight scenarios, validating these against actual 2019-2023 results. </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Navigate using hyperlinks to explore the full analysis.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650874</xdr:colOff>
      <xdr:row>10</xdr:row>
      <xdr:rowOff>0</xdr:rowOff>
    </xdr:from>
    <xdr:to>
      <xdr:col>13</xdr:col>
      <xdr:colOff>674686</xdr:colOff>
      <xdr:row>27</xdr:row>
      <xdr:rowOff>0</xdr:rowOff>
    </xdr:to>
    <xdr:graphicFrame macro="">
      <xdr:nvGraphicFramePr>
        <xdr:cNvPr id="6" name="Chart 5">
          <a:extLst>
            <a:ext uri="{FF2B5EF4-FFF2-40B4-BE49-F238E27FC236}">
              <a16:creationId xmlns:a16="http://schemas.microsoft.com/office/drawing/2014/main" id="{7164508E-4568-FAB1-B404-32B74E29C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9</xdr:row>
      <xdr:rowOff>0</xdr:rowOff>
    </xdr:from>
    <xdr:to>
      <xdr:col>13</xdr:col>
      <xdr:colOff>0</xdr:colOff>
      <xdr:row>39</xdr:row>
      <xdr:rowOff>0</xdr:rowOff>
    </xdr:to>
    <xdr:graphicFrame macro="">
      <xdr:nvGraphicFramePr>
        <xdr:cNvPr id="2" name="Chart 1">
          <a:extLst>
            <a:ext uri="{FF2B5EF4-FFF2-40B4-BE49-F238E27FC236}">
              <a16:creationId xmlns:a16="http://schemas.microsoft.com/office/drawing/2014/main" id="{3F30DD8A-EE19-C014-D2BA-FE8649529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10</xdr:row>
      <xdr:rowOff>181427</xdr:rowOff>
    </xdr:from>
    <xdr:to>
      <xdr:col>7</xdr:col>
      <xdr:colOff>0</xdr:colOff>
      <xdr:row>26</xdr:row>
      <xdr:rowOff>-1</xdr:rowOff>
    </xdr:to>
    <xdr:graphicFrame macro="">
      <xdr:nvGraphicFramePr>
        <xdr:cNvPr id="2" name="Chart 1">
          <a:extLst>
            <a:ext uri="{FF2B5EF4-FFF2-40B4-BE49-F238E27FC236}">
              <a16:creationId xmlns:a16="http://schemas.microsoft.com/office/drawing/2014/main" id="{66042981-07BE-4473-AFD0-FD5E15353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10</xdr:row>
      <xdr:rowOff>9921</xdr:rowOff>
    </xdr:from>
    <xdr:to>
      <xdr:col>23</xdr:col>
      <xdr:colOff>0</xdr:colOff>
      <xdr:row>26</xdr:row>
      <xdr:rowOff>0</xdr:rowOff>
    </xdr:to>
    <xdr:graphicFrame macro="">
      <xdr:nvGraphicFramePr>
        <xdr:cNvPr id="5" name="Chart 4">
          <a:extLst>
            <a:ext uri="{FF2B5EF4-FFF2-40B4-BE49-F238E27FC236}">
              <a16:creationId xmlns:a16="http://schemas.microsoft.com/office/drawing/2014/main" id="{02EEC70C-C65D-4C2D-AB3B-468970700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xdr:colOff>
      <xdr:row>11</xdr:row>
      <xdr:rowOff>1</xdr:rowOff>
    </xdr:from>
    <xdr:to>
      <xdr:col>15</xdr:col>
      <xdr:colOff>1</xdr:colOff>
      <xdr:row>26</xdr:row>
      <xdr:rowOff>0</xdr:rowOff>
    </xdr:to>
    <xdr:graphicFrame macro="">
      <xdr:nvGraphicFramePr>
        <xdr:cNvPr id="6" name="Chart 5">
          <a:extLst>
            <a:ext uri="{FF2B5EF4-FFF2-40B4-BE49-F238E27FC236}">
              <a16:creationId xmlns:a16="http://schemas.microsoft.com/office/drawing/2014/main" id="{83F83174-B915-3B3D-B5E2-5C91CC2C8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58</xdr:row>
      <xdr:rowOff>0</xdr:rowOff>
    </xdr:from>
    <xdr:to>
      <xdr:col>7</xdr:col>
      <xdr:colOff>0</xdr:colOff>
      <xdr:row>74</xdr:row>
      <xdr:rowOff>0</xdr:rowOff>
    </xdr:to>
    <xdr:graphicFrame macro="">
      <xdr:nvGraphicFramePr>
        <xdr:cNvPr id="13" name="Chart 12">
          <a:extLst>
            <a:ext uri="{FF2B5EF4-FFF2-40B4-BE49-F238E27FC236}">
              <a16:creationId xmlns:a16="http://schemas.microsoft.com/office/drawing/2014/main" id="{BF03588D-FD1E-B0A4-2810-5660F2B2C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58</xdr:row>
      <xdr:rowOff>1</xdr:rowOff>
    </xdr:from>
    <xdr:to>
      <xdr:col>15</xdr:col>
      <xdr:colOff>0</xdr:colOff>
      <xdr:row>74</xdr:row>
      <xdr:rowOff>0</xdr:rowOff>
    </xdr:to>
    <xdr:graphicFrame macro="">
      <xdr:nvGraphicFramePr>
        <xdr:cNvPr id="20" name="Chart 19">
          <a:extLst>
            <a:ext uri="{FF2B5EF4-FFF2-40B4-BE49-F238E27FC236}">
              <a16:creationId xmlns:a16="http://schemas.microsoft.com/office/drawing/2014/main" id="{ACFFD764-1CF7-48E4-9D64-B3BE9909A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58</xdr:row>
      <xdr:rowOff>0</xdr:rowOff>
    </xdr:from>
    <xdr:to>
      <xdr:col>23</xdr:col>
      <xdr:colOff>0</xdr:colOff>
      <xdr:row>74</xdr:row>
      <xdr:rowOff>0</xdr:rowOff>
    </xdr:to>
    <xdr:graphicFrame macro="">
      <xdr:nvGraphicFramePr>
        <xdr:cNvPr id="21" name="Chart 20">
          <a:extLst>
            <a:ext uri="{FF2B5EF4-FFF2-40B4-BE49-F238E27FC236}">
              <a16:creationId xmlns:a16="http://schemas.microsoft.com/office/drawing/2014/main" id="{0B2F413C-767D-F83A-0F7A-0AD215D7F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xdr:colOff>
      <xdr:row>108</xdr:row>
      <xdr:rowOff>1</xdr:rowOff>
    </xdr:from>
    <xdr:to>
      <xdr:col>7</xdr:col>
      <xdr:colOff>0</xdr:colOff>
      <xdr:row>123</xdr:row>
      <xdr:rowOff>1</xdr:rowOff>
    </xdr:to>
    <xdr:graphicFrame macro="">
      <xdr:nvGraphicFramePr>
        <xdr:cNvPr id="22" name="Chart 21">
          <a:extLst>
            <a:ext uri="{FF2B5EF4-FFF2-40B4-BE49-F238E27FC236}">
              <a16:creationId xmlns:a16="http://schemas.microsoft.com/office/drawing/2014/main" id="{E5797676-5171-0EAE-827E-4C6B66C43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xdr:colOff>
      <xdr:row>108</xdr:row>
      <xdr:rowOff>0</xdr:rowOff>
    </xdr:from>
    <xdr:to>
      <xdr:col>15</xdr:col>
      <xdr:colOff>0</xdr:colOff>
      <xdr:row>123</xdr:row>
      <xdr:rowOff>0</xdr:rowOff>
    </xdr:to>
    <xdr:graphicFrame macro="">
      <xdr:nvGraphicFramePr>
        <xdr:cNvPr id="25" name="Chart 24">
          <a:extLst>
            <a:ext uri="{FF2B5EF4-FFF2-40B4-BE49-F238E27FC236}">
              <a16:creationId xmlns:a16="http://schemas.microsoft.com/office/drawing/2014/main" id="{C71A5D69-AA6B-4BC6-92C6-3FDE889C7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6</xdr:row>
      <xdr:rowOff>0</xdr:rowOff>
    </xdr:from>
    <xdr:to>
      <xdr:col>13</xdr:col>
      <xdr:colOff>0</xdr:colOff>
      <xdr:row>37</xdr:row>
      <xdr:rowOff>0</xdr:rowOff>
    </xdr:to>
    <xdr:graphicFrame macro="">
      <xdr:nvGraphicFramePr>
        <xdr:cNvPr id="4" name="Chart 3">
          <a:extLst>
            <a:ext uri="{FF2B5EF4-FFF2-40B4-BE49-F238E27FC236}">
              <a16:creationId xmlns:a16="http://schemas.microsoft.com/office/drawing/2014/main" id="{FF8BF360-AC7E-FE8A-06AB-1784A95A0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xdr:colOff>
      <xdr:row>6</xdr:row>
      <xdr:rowOff>0</xdr:rowOff>
    </xdr:from>
    <xdr:to>
      <xdr:col>19</xdr:col>
      <xdr:colOff>0</xdr:colOff>
      <xdr:row>37</xdr:row>
      <xdr:rowOff>0</xdr:rowOff>
    </xdr:to>
    <xdr:graphicFrame macro="">
      <xdr:nvGraphicFramePr>
        <xdr:cNvPr id="10" name="Chart 9">
          <a:extLst>
            <a:ext uri="{FF2B5EF4-FFF2-40B4-BE49-F238E27FC236}">
              <a16:creationId xmlns:a16="http://schemas.microsoft.com/office/drawing/2014/main" id="{01C677CD-6FF3-4493-B238-F58168217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6</xdr:row>
      <xdr:rowOff>0</xdr:rowOff>
    </xdr:from>
    <xdr:to>
      <xdr:col>25</xdr:col>
      <xdr:colOff>0</xdr:colOff>
      <xdr:row>37</xdr:row>
      <xdr:rowOff>0</xdr:rowOff>
    </xdr:to>
    <xdr:graphicFrame macro="">
      <xdr:nvGraphicFramePr>
        <xdr:cNvPr id="11" name="Chart 10">
          <a:extLst>
            <a:ext uri="{FF2B5EF4-FFF2-40B4-BE49-F238E27FC236}">
              <a16:creationId xmlns:a16="http://schemas.microsoft.com/office/drawing/2014/main" id="{E60AB87B-51F9-4F8E-B78F-252A940AC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37</xdr:row>
      <xdr:rowOff>0</xdr:rowOff>
    </xdr:from>
    <xdr:to>
      <xdr:col>13</xdr:col>
      <xdr:colOff>0</xdr:colOff>
      <xdr:row>68</xdr:row>
      <xdr:rowOff>0</xdr:rowOff>
    </xdr:to>
    <xdr:graphicFrame macro="">
      <xdr:nvGraphicFramePr>
        <xdr:cNvPr id="12" name="Chart 11">
          <a:extLst>
            <a:ext uri="{FF2B5EF4-FFF2-40B4-BE49-F238E27FC236}">
              <a16:creationId xmlns:a16="http://schemas.microsoft.com/office/drawing/2014/main" id="{D8B508DC-AE53-419C-B3D5-0ECDC7100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xdr:colOff>
      <xdr:row>37</xdr:row>
      <xdr:rowOff>0</xdr:rowOff>
    </xdr:from>
    <xdr:to>
      <xdr:col>19</xdr:col>
      <xdr:colOff>1</xdr:colOff>
      <xdr:row>68</xdr:row>
      <xdr:rowOff>0</xdr:rowOff>
    </xdr:to>
    <xdr:graphicFrame macro="">
      <xdr:nvGraphicFramePr>
        <xdr:cNvPr id="13" name="Chart 12">
          <a:extLst>
            <a:ext uri="{FF2B5EF4-FFF2-40B4-BE49-F238E27FC236}">
              <a16:creationId xmlns:a16="http://schemas.microsoft.com/office/drawing/2014/main" id="{DD75E16F-403F-49D9-B820-1A6C757D1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10</xdr:row>
      <xdr:rowOff>0</xdr:rowOff>
    </xdr:from>
    <xdr:to>
      <xdr:col>17</xdr:col>
      <xdr:colOff>0</xdr:colOff>
      <xdr:row>28</xdr:row>
      <xdr:rowOff>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32C0858-45DB-66BA-9DF3-6D271B7969BF}"/>
                </a:ext>
              </a:extLst>
            </xdr:cNvPr>
            <xdr:cNvSpPr txBox="1"/>
          </xdr:nvSpPr>
          <xdr:spPr>
            <a:xfrm>
              <a:off x="0" y="1917700"/>
              <a:ext cx="9899650" cy="331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dk1"/>
                  </a:solidFill>
                  <a:effectLst/>
                  <a:latin typeface="+mn-lt"/>
                  <a:ea typeface="+mn-ea"/>
                  <a:cs typeface="+mn-cs"/>
                </a:rPr>
                <a:t>1) </a:t>
              </a:r>
              <a:r>
                <a:rPr lang="en-IN" sz="1400" b="1" u="sng">
                  <a:solidFill>
                    <a:schemeClr val="dk1"/>
                  </a:solidFill>
                  <a:effectLst/>
                  <a:latin typeface="+mn-lt"/>
                  <a:ea typeface="+mn-ea"/>
                  <a:cs typeface="+mn-cs"/>
                </a:rPr>
                <a:t>Baseline Growth</a:t>
              </a:r>
              <a:r>
                <a:rPr lang="en-IN" sz="1400">
                  <a:solidFill>
                    <a:schemeClr val="dk1"/>
                  </a:solidFill>
                  <a:effectLst/>
                  <a:latin typeface="+mn-lt"/>
                  <a:ea typeface="+mn-ea"/>
                  <a:cs typeface="+mn-cs"/>
                </a:rPr>
                <a:t>:</a:t>
              </a:r>
              <a:br>
                <a:rPr lang="en-IN" sz="1400">
                  <a:solidFill>
                    <a:schemeClr val="dk1"/>
                  </a:solidFill>
                  <a:effectLst/>
                  <a:latin typeface="+mn-lt"/>
                  <a:ea typeface="+mn-ea"/>
                  <a:cs typeface="+mn-cs"/>
                </a:rPr>
              </a:br>
              <a:r>
                <a:rPr lang="en-IN" sz="1400">
                  <a:solidFill>
                    <a:schemeClr val="dk1"/>
                  </a:solidFill>
                  <a:effectLst/>
                  <a:latin typeface="+mn-lt"/>
                  <a:ea typeface="+mn-ea"/>
                  <a:cs typeface="+mn-cs"/>
                </a:rPr>
                <a:t>In the Baseline Growth scenario, the Compound Annual Growth Rate (CAGR) is derived from historical market size data, spanning 792,250 million USD in 2014 to 906,710 million USD in 2018. The calculated historical CAGR is:</a:t>
              </a:r>
            </a:p>
            <a:p>
              <a:endParaRPr lang="en-IN" sz="1400">
                <a:solidFill>
                  <a:schemeClr val="dk1"/>
                </a:solidFill>
                <a:effectLst/>
                <a:latin typeface="+mn-lt"/>
                <a:ea typeface="+mn-ea"/>
                <a:cs typeface="+mn-cs"/>
              </a:endParaRPr>
            </a:p>
            <a:p>
              <a:r>
                <a:rPr lang="en-IN" sz="1400">
                  <a:solidFill>
                    <a:schemeClr val="dk1"/>
                  </a:solidFill>
                  <a:effectLst/>
                  <a:latin typeface="+mn-lt"/>
                  <a:ea typeface="+mn-ea"/>
                  <a:cs typeface="+mn-cs"/>
                </a:rPr>
                <a:t>CAGR</a:t>
              </a:r>
              <a:r>
                <a:rPr lang="en-IN" sz="1400" baseline="0">
                  <a:solidFill>
                    <a:schemeClr val="dk1"/>
                  </a:solidFill>
                  <a:effectLst/>
                  <a:latin typeface="+mn-lt"/>
                  <a:ea typeface="+mn-ea"/>
                  <a:cs typeface="+mn-cs"/>
                </a:rPr>
                <a:t> = </a:t>
              </a:r>
              <a14:m>
                <m:oMath xmlns:m="http://schemas.openxmlformats.org/officeDocument/2006/math">
                  <m:sSup>
                    <m:sSupPr>
                      <m:ctrlPr>
                        <a:rPr lang="en-IN" sz="1400" i="1">
                          <a:solidFill>
                            <a:schemeClr val="dk1"/>
                          </a:solidFill>
                          <a:effectLst/>
                          <a:latin typeface="Cambria Math" panose="02040503050406030204" pitchFamily="18" charset="0"/>
                          <a:ea typeface="+mn-ea"/>
                          <a:cs typeface="+mn-cs"/>
                        </a:rPr>
                      </m:ctrlPr>
                    </m:sSupPr>
                    <m:e>
                      <m:d>
                        <m:dPr>
                          <m:begChr m:val="{"/>
                          <m:endChr m:val="}"/>
                          <m:ctrlPr>
                            <a:rPr lang="en-IN" sz="1400" i="1">
                              <a:solidFill>
                                <a:schemeClr val="dk1"/>
                              </a:solidFill>
                              <a:effectLst/>
                              <a:latin typeface="Cambria Math" panose="02040503050406030204" pitchFamily="18" charset="0"/>
                              <a:ea typeface="+mn-ea"/>
                              <a:cs typeface="+mn-cs"/>
                            </a:rPr>
                          </m:ctrlPr>
                        </m:dPr>
                        <m:e>
                          <m:f>
                            <m:fPr>
                              <m:ctrlPr>
                                <a:rPr lang="en-IN" sz="1400" i="1">
                                  <a:solidFill>
                                    <a:schemeClr val="dk1"/>
                                  </a:solidFill>
                                  <a:effectLst/>
                                  <a:latin typeface="Cambria Math" panose="02040503050406030204" pitchFamily="18" charset="0"/>
                                  <a:ea typeface="+mn-ea"/>
                                  <a:cs typeface="+mn-cs"/>
                                </a:rPr>
                              </m:ctrlPr>
                            </m:fPr>
                            <m:num>
                              <m:r>
                                <a:rPr lang="en-IN" sz="1400">
                                  <a:solidFill>
                                    <a:schemeClr val="dk1"/>
                                  </a:solidFill>
                                  <a:effectLst/>
                                  <a:latin typeface="Cambria Math" panose="02040503050406030204" pitchFamily="18" charset="0"/>
                                  <a:ea typeface="+mn-ea"/>
                                  <a:cs typeface="+mn-cs"/>
                                </a:rPr>
                                <m:t>906710</m:t>
                              </m:r>
                            </m:num>
                            <m:den>
                              <m:r>
                                <a:rPr lang="en-IN" sz="1400" i="0">
                                  <a:solidFill>
                                    <a:schemeClr val="dk1"/>
                                  </a:solidFill>
                                  <a:effectLst/>
                                  <a:latin typeface="Cambria Math" panose="02040503050406030204" pitchFamily="18" charset="0"/>
                                  <a:ea typeface="+mn-ea"/>
                                  <a:cs typeface="+mn-cs"/>
                                </a:rPr>
                                <m:t>792250</m:t>
                              </m:r>
                            </m:den>
                          </m:f>
                        </m:e>
                      </m:d>
                    </m:e>
                    <m:sup>
                      <m:d>
                        <m:dPr>
                          <m:ctrlPr>
                            <a:rPr lang="en-IN" sz="1400" i="1">
                              <a:solidFill>
                                <a:schemeClr val="dk1"/>
                              </a:solidFill>
                              <a:effectLst/>
                              <a:latin typeface="Cambria Math" panose="02040503050406030204" pitchFamily="18" charset="0"/>
                              <a:ea typeface="+mn-ea"/>
                              <a:cs typeface="+mn-cs"/>
                            </a:rPr>
                          </m:ctrlPr>
                        </m:dPr>
                        <m:e>
                          <m:f>
                            <m:fPr>
                              <m:ctrlPr>
                                <a:rPr lang="en-IN" sz="1400" i="1">
                                  <a:solidFill>
                                    <a:schemeClr val="dk1"/>
                                  </a:solidFill>
                                  <a:effectLst/>
                                  <a:latin typeface="Cambria Math" panose="02040503050406030204" pitchFamily="18" charset="0"/>
                                  <a:ea typeface="+mn-ea"/>
                                  <a:cs typeface="+mn-cs"/>
                                </a:rPr>
                              </m:ctrlPr>
                            </m:fPr>
                            <m:num>
                              <m:r>
                                <a:rPr lang="en-IN" sz="1400" i="0">
                                  <a:solidFill>
                                    <a:schemeClr val="dk1"/>
                                  </a:solidFill>
                                  <a:effectLst/>
                                  <a:latin typeface="Cambria Math" panose="02040503050406030204" pitchFamily="18" charset="0"/>
                                  <a:ea typeface="+mn-ea"/>
                                  <a:cs typeface="+mn-cs"/>
                                </a:rPr>
                                <m:t>1</m:t>
                              </m:r>
                            </m:num>
                            <m:den>
                              <m:r>
                                <a:rPr lang="en-IN" sz="1400" i="0">
                                  <a:solidFill>
                                    <a:schemeClr val="dk1"/>
                                  </a:solidFill>
                                  <a:effectLst/>
                                  <a:latin typeface="Cambria Math" panose="02040503050406030204" pitchFamily="18" charset="0"/>
                                  <a:ea typeface="+mn-ea"/>
                                  <a:cs typeface="+mn-cs"/>
                                </a:rPr>
                                <m:t>4</m:t>
                              </m:r>
                            </m:den>
                          </m:f>
                        </m:e>
                      </m:d>
                    </m:sup>
                  </m:sSup>
                  <m:r>
                    <a:rPr lang="en-IN" sz="1400" i="0">
                      <a:solidFill>
                        <a:schemeClr val="dk1"/>
                      </a:solidFill>
                      <a:effectLst/>
                      <a:latin typeface="Cambria Math" panose="02040503050406030204" pitchFamily="18" charset="0"/>
                      <a:ea typeface="+mn-ea"/>
                      <a:cs typeface="+mn-cs"/>
                    </a:rPr>
                    <m:t>−1≈1.0345−1≈</m:t>
                  </m:r>
                  <m:r>
                    <a:rPr lang="en-IN" sz="1400" b="1" i="0">
                      <a:solidFill>
                        <a:schemeClr val="dk1"/>
                      </a:solidFill>
                      <a:effectLst/>
                      <a:latin typeface="Cambria Math" panose="02040503050406030204" pitchFamily="18" charset="0"/>
                      <a:ea typeface="+mn-ea"/>
                      <a:cs typeface="+mn-cs"/>
                    </a:rPr>
                    <m:t>𝟑</m:t>
                  </m:r>
                  <m:r>
                    <a:rPr lang="en-IN" sz="1400" b="1" i="0">
                      <a:solidFill>
                        <a:schemeClr val="dk1"/>
                      </a:solidFill>
                      <a:effectLst/>
                      <a:latin typeface="Cambria Math" panose="02040503050406030204" pitchFamily="18" charset="0"/>
                      <a:ea typeface="+mn-ea"/>
                      <a:cs typeface="+mn-cs"/>
                    </a:rPr>
                    <m:t>.</m:t>
                  </m:r>
                  <m:r>
                    <a:rPr lang="en-IN" sz="1400" b="1" i="0">
                      <a:solidFill>
                        <a:schemeClr val="dk1"/>
                      </a:solidFill>
                      <a:effectLst/>
                      <a:latin typeface="Cambria Math" panose="02040503050406030204" pitchFamily="18" charset="0"/>
                      <a:ea typeface="+mn-ea"/>
                      <a:cs typeface="+mn-cs"/>
                    </a:rPr>
                    <m:t>𝟒𝟓</m:t>
                  </m:r>
                </m:oMath>
              </a14:m>
              <a:r>
                <a:rPr lang="en-IN" sz="1400">
                  <a:solidFill>
                    <a:schemeClr val="dk1"/>
                  </a:solidFill>
                  <a:effectLst/>
                  <a:latin typeface="+mn-lt"/>
                  <a:ea typeface="+mn-ea"/>
                  <a:cs typeface="+mn-cs"/>
                </a:rPr>
                <a:t>%</a:t>
              </a:r>
            </a:p>
            <a:p>
              <a:br>
                <a:rPr lang="en-IN" sz="1400">
                  <a:solidFill>
                    <a:schemeClr val="dk1"/>
                  </a:solidFill>
                  <a:effectLst/>
                  <a:latin typeface="+mn-lt"/>
                  <a:ea typeface="+mn-ea"/>
                  <a:cs typeface="+mn-cs"/>
                </a:rPr>
              </a:br>
              <a:r>
                <a:rPr lang="en-IN" sz="1400">
                  <a:solidFill>
                    <a:schemeClr val="dk1"/>
                  </a:solidFill>
                  <a:effectLst/>
                  <a:latin typeface="+mn-lt"/>
                  <a:ea typeface="+mn-ea"/>
                  <a:cs typeface="+mn-cs"/>
                </a:rPr>
                <a:t>To reflect anticipated market expansion, driven by rising consumer demand, technological innovations (e.g., digital ordering and delivery systems), and growth in emerging markets, I have adopted a slightly higher CAGR of </a:t>
              </a:r>
              <a:r>
                <a:rPr lang="en-IN" sz="1400" b="1">
                  <a:solidFill>
                    <a:schemeClr val="dk1"/>
                  </a:solidFill>
                  <a:effectLst/>
                  <a:latin typeface="+mn-lt"/>
                  <a:ea typeface="+mn-ea"/>
                  <a:cs typeface="+mn-cs"/>
                </a:rPr>
                <a:t>4%</a:t>
              </a:r>
              <a:r>
                <a:rPr lang="en-IN" sz="1400">
                  <a:solidFill>
                    <a:schemeClr val="dk1"/>
                  </a:solidFill>
                  <a:effectLst/>
                  <a:latin typeface="+mn-lt"/>
                  <a:ea typeface="+mn-ea"/>
                  <a:cs typeface="+mn-cs"/>
                </a:rPr>
                <a:t>. This adjustment represents a conservative yet forward-looking estimate, informed by current market trends and my research insights. For McDonald’s revenue, a </a:t>
              </a:r>
              <a:r>
                <a:rPr lang="en-IN" sz="1400" b="1">
                  <a:solidFill>
                    <a:schemeClr val="dk1"/>
                  </a:solidFill>
                  <a:effectLst/>
                  <a:latin typeface="+mn-lt"/>
                  <a:ea typeface="+mn-ea"/>
                  <a:cs typeface="+mn-cs"/>
                </a:rPr>
                <a:t>2%</a:t>
              </a:r>
              <a:r>
                <a:rPr lang="en-IN" sz="1400">
                  <a:solidFill>
                    <a:schemeClr val="dk1"/>
                  </a:solidFill>
                  <a:effectLst/>
                  <a:latin typeface="+mn-lt"/>
                  <a:ea typeface="+mn-ea"/>
                  <a:cs typeface="+mn-cs"/>
                </a:rPr>
                <a:t> annual growth rate is assumed from 2019 to 2023, designed to offset the approximate </a:t>
              </a:r>
              <a:r>
                <a:rPr lang="en-IN" sz="1400" b="1">
                  <a:solidFill>
                    <a:schemeClr val="dk1"/>
                  </a:solidFill>
                  <a:effectLst/>
                  <a:latin typeface="+mn-lt"/>
                  <a:ea typeface="+mn-ea"/>
                  <a:cs typeface="+mn-cs"/>
                </a:rPr>
                <a:t>7.8%</a:t>
              </a:r>
              <a:r>
                <a:rPr lang="en-IN" sz="1400">
                  <a:solidFill>
                    <a:schemeClr val="dk1"/>
                  </a:solidFill>
                  <a:effectLst/>
                  <a:latin typeface="+mn-lt"/>
                  <a:ea typeface="+mn-ea"/>
                  <a:cs typeface="+mn-cs"/>
                </a:rPr>
                <a:t> average annual decline observed over the prior five years (2014–2018), thereby supporting a sustainable recovery and growth trajectory in a stable economic environment. Historical reports, such as Transparency Market Research (2016), are challenging to access due to paywalls or outdated revisions, and thus were not relied upon; the </a:t>
              </a:r>
              <a:r>
                <a:rPr lang="en-IN" sz="1400" b="1">
                  <a:solidFill>
                    <a:schemeClr val="dk1"/>
                  </a:solidFill>
                  <a:effectLst/>
                  <a:latin typeface="+mn-lt"/>
                  <a:ea typeface="+mn-ea"/>
                  <a:cs typeface="+mn-cs"/>
                </a:rPr>
                <a:t>4%</a:t>
              </a:r>
              <a:r>
                <a:rPr lang="en-IN" sz="1400">
                  <a:solidFill>
                    <a:schemeClr val="dk1"/>
                  </a:solidFill>
                  <a:effectLst/>
                  <a:latin typeface="+mn-lt"/>
                  <a:ea typeface="+mn-ea"/>
                  <a:cs typeface="+mn-cs"/>
                </a:rPr>
                <a:t> CAGR is a reasoned projection based on available data and industry observations.</a:t>
              </a:r>
            </a:p>
            <a:p>
              <a:endParaRPr lang="en-IN" sz="1400"/>
            </a:p>
          </xdr:txBody>
        </xdr:sp>
      </mc:Choice>
      <mc:Fallback xmlns="">
        <xdr:sp macro="" textlink="">
          <xdr:nvSpPr>
            <xdr:cNvPr id="3" name="TextBox 2">
              <a:extLst>
                <a:ext uri="{FF2B5EF4-FFF2-40B4-BE49-F238E27FC236}">
                  <a16:creationId xmlns:a16="http://schemas.microsoft.com/office/drawing/2014/main" id="{C32C0858-45DB-66BA-9DF3-6D271B7969BF}"/>
                </a:ext>
              </a:extLst>
            </xdr:cNvPr>
            <xdr:cNvSpPr txBox="1"/>
          </xdr:nvSpPr>
          <xdr:spPr>
            <a:xfrm>
              <a:off x="0" y="1917700"/>
              <a:ext cx="9899650" cy="331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dk1"/>
                  </a:solidFill>
                  <a:effectLst/>
                  <a:latin typeface="+mn-lt"/>
                  <a:ea typeface="+mn-ea"/>
                  <a:cs typeface="+mn-cs"/>
                </a:rPr>
                <a:t>1) </a:t>
              </a:r>
              <a:r>
                <a:rPr lang="en-IN" sz="1400" b="1" u="sng">
                  <a:solidFill>
                    <a:schemeClr val="dk1"/>
                  </a:solidFill>
                  <a:effectLst/>
                  <a:latin typeface="+mn-lt"/>
                  <a:ea typeface="+mn-ea"/>
                  <a:cs typeface="+mn-cs"/>
                </a:rPr>
                <a:t>Baseline Growth</a:t>
              </a:r>
              <a:r>
                <a:rPr lang="en-IN" sz="1400">
                  <a:solidFill>
                    <a:schemeClr val="dk1"/>
                  </a:solidFill>
                  <a:effectLst/>
                  <a:latin typeface="+mn-lt"/>
                  <a:ea typeface="+mn-ea"/>
                  <a:cs typeface="+mn-cs"/>
                </a:rPr>
                <a:t>:</a:t>
              </a:r>
              <a:br>
                <a:rPr lang="en-IN" sz="1400">
                  <a:solidFill>
                    <a:schemeClr val="dk1"/>
                  </a:solidFill>
                  <a:effectLst/>
                  <a:latin typeface="+mn-lt"/>
                  <a:ea typeface="+mn-ea"/>
                  <a:cs typeface="+mn-cs"/>
                </a:rPr>
              </a:br>
              <a:r>
                <a:rPr lang="en-IN" sz="1400">
                  <a:solidFill>
                    <a:schemeClr val="dk1"/>
                  </a:solidFill>
                  <a:effectLst/>
                  <a:latin typeface="+mn-lt"/>
                  <a:ea typeface="+mn-ea"/>
                  <a:cs typeface="+mn-cs"/>
                </a:rPr>
                <a:t>In the Baseline Growth scenario, the Compound Annual Growth Rate (CAGR) is derived from historical market size data, spanning 792,250 million USD in 2014 to 906,710 million USD in 2018. The calculated historical CAGR is:</a:t>
              </a:r>
            </a:p>
            <a:p>
              <a:endParaRPr lang="en-IN" sz="1400">
                <a:solidFill>
                  <a:schemeClr val="dk1"/>
                </a:solidFill>
                <a:effectLst/>
                <a:latin typeface="+mn-lt"/>
                <a:ea typeface="+mn-ea"/>
                <a:cs typeface="+mn-cs"/>
              </a:endParaRPr>
            </a:p>
            <a:p>
              <a:r>
                <a:rPr lang="en-IN" sz="1400">
                  <a:solidFill>
                    <a:schemeClr val="dk1"/>
                  </a:solidFill>
                  <a:effectLst/>
                  <a:latin typeface="+mn-lt"/>
                  <a:ea typeface="+mn-ea"/>
                  <a:cs typeface="+mn-cs"/>
                </a:rPr>
                <a:t>CAGR</a:t>
              </a:r>
              <a:r>
                <a:rPr lang="en-IN" sz="1400" baseline="0">
                  <a:solidFill>
                    <a:schemeClr val="dk1"/>
                  </a:solidFill>
                  <a:effectLst/>
                  <a:latin typeface="+mn-lt"/>
                  <a:ea typeface="+mn-ea"/>
                  <a:cs typeface="+mn-cs"/>
                </a:rPr>
                <a:t> = </a:t>
              </a:r>
              <a:r>
                <a:rPr lang="en-IN" sz="1400" i="0">
                  <a:solidFill>
                    <a:schemeClr val="dk1"/>
                  </a:solidFill>
                  <a:effectLst/>
                  <a:latin typeface="Cambria Math" panose="02040503050406030204" pitchFamily="18" charset="0"/>
                  <a:ea typeface="+mn-ea"/>
                  <a:cs typeface="+mn-cs"/>
                </a:rPr>
                <a:t>{906710/792250}^((1/4) )−1≈1.0345−1≈</a:t>
              </a:r>
              <a:r>
                <a:rPr lang="en-IN" sz="1400" b="1" i="0">
                  <a:solidFill>
                    <a:schemeClr val="dk1"/>
                  </a:solidFill>
                  <a:effectLst/>
                  <a:latin typeface="Cambria Math" panose="02040503050406030204" pitchFamily="18" charset="0"/>
                  <a:ea typeface="+mn-ea"/>
                  <a:cs typeface="+mn-cs"/>
                </a:rPr>
                <a:t>𝟑.𝟒𝟓</a:t>
              </a:r>
              <a:r>
                <a:rPr lang="en-IN" sz="1400">
                  <a:solidFill>
                    <a:schemeClr val="dk1"/>
                  </a:solidFill>
                  <a:effectLst/>
                  <a:latin typeface="+mn-lt"/>
                  <a:ea typeface="+mn-ea"/>
                  <a:cs typeface="+mn-cs"/>
                </a:rPr>
                <a:t>%</a:t>
              </a:r>
            </a:p>
            <a:p>
              <a:br>
                <a:rPr lang="en-IN" sz="1400">
                  <a:solidFill>
                    <a:schemeClr val="dk1"/>
                  </a:solidFill>
                  <a:effectLst/>
                  <a:latin typeface="+mn-lt"/>
                  <a:ea typeface="+mn-ea"/>
                  <a:cs typeface="+mn-cs"/>
                </a:rPr>
              </a:br>
              <a:r>
                <a:rPr lang="en-IN" sz="1400">
                  <a:solidFill>
                    <a:schemeClr val="dk1"/>
                  </a:solidFill>
                  <a:effectLst/>
                  <a:latin typeface="+mn-lt"/>
                  <a:ea typeface="+mn-ea"/>
                  <a:cs typeface="+mn-cs"/>
                </a:rPr>
                <a:t>To reflect anticipated market expansion, driven by rising consumer demand, technological innovations (e.g., digital ordering and delivery systems), and growth in emerging markets, I have adopted a slightly higher CAGR of </a:t>
              </a:r>
              <a:r>
                <a:rPr lang="en-IN" sz="1400" b="1">
                  <a:solidFill>
                    <a:schemeClr val="dk1"/>
                  </a:solidFill>
                  <a:effectLst/>
                  <a:latin typeface="+mn-lt"/>
                  <a:ea typeface="+mn-ea"/>
                  <a:cs typeface="+mn-cs"/>
                </a:rPr>
                <a:t>4%</a:t>
              </a:r>
              <a:r>
                <a:rPr lang="en-IN" sz="1400">
                  <a:solidFill>
                    <a:schemeClr val="dk1"/>
                  </a:solidFill>
                  <a:effectLst/>
                  <a:latin typeface="+mn-lt"/>
                  <a:ea typeface="+mn-ea"/>
                  <a:cs typeface="+mn-cs"/>
                </a:rPr>
                <a:t>. This adjustment represents a conservative yet forward-looking estimate, informed by current market trends and my research insights. For McDonald’s revenue, a </a:t>
              </a:r>
              <a:r>
                <a:rPr lang="en-IN" sz="1400" b="1">
                  <a:solidFill>
                    <a:schemeClr val="dk1"/>
                  </a:solidFill>
                  <a:effectLst/>
                  <a:latin typeface="+mn-lt"/>
                  <a:ea typeface="+mn-ea"/>
                  <a:cs typeface="+mn-cs"/>
                </a:rPr>
                <a:t>2%</a:t>
              </a:r>
              <a:r>
                <a:rPr lang="en-IN" sz="1400">
                  <a:solidFill>
                    <a:schemeClr val="dk1"/>
                  </a:solidFill>
                  <a:effectLst/>
                  <a:latin typeface="+mn-lt"/>
                  <a:ea typeface="+mn-ea"/>
                  <a:cs typeface="+mn-cs"/>
                </a:rPr>
                <a:t> annual growth rate is assumed from 2019 to 2023, designed to offset the approximate </a:t>
              </a:r>
              <a:r>
                <a:rPr lang="en-IN" sz="1400" b="1">
                  <a:solidFill>
                    <a:schemeClr val="dk1"/>
                  </a:solidFill>
                  <a:effectLst/>
                  <a:latin typeface="+mn-lt"/>
                  <a:ea typeface="+mn-ea"/>
                  <a:cs typeface="+mn-cs"/>
                </a:rPr>
                <a:t>7.8%</a:t>
              </a:r>
              <a:r>
                <a:rPr lang="en-IN" sz="1400">
                  <a:solidFill>
                    <a:schemeClr val="dk1"/>
                  </a:solidFill>
                  <a:effectLst/>
                  <a:latin typeface="+mn-lt"/>
                  <a:ea typeface="+mn-ea"/>
                  <a:cs typeface="+mn-cs"/>
                </a:rPr>
                <a:t> average annual decline observed over the prior five years (2014–2018), thereby supporting a sustainable recovery and growth trajectory in a stable economic environment. Historical reports, such as Transparency Market Research (2016), are challenging to access due to paywalls or outdated revisions, and thus were not relied upon; the </a:t>
              </a:r>
              <a:r>
                <a:rPr lang="en-IN" sz="1400" b="1">
                  <a:solidFill>
                    <a:schemeClr val="dk1"/>
                  </a:solidFill>
                  <a:effectLst/>
                  <a:latin typeface="+mn-lt"/>
                  <a:ea typeface="+mn-ea"/>
                  <a:cs typeface="+mn-cs"/>
                </a:rPr>
                <a:t>4%</a:t>
              </a:r>
              <a:r>
                <a:rPr lang="en-IN" sz="1400">
                  <a:solidFill>
                    <a:schemeClr val="dk1"/>
                  </a:solidFill>
                  <a:effectLst/>
                  <a:latin typeface="+mn-lt"/>
                  <a:ea typeface="+mn-ea"/>
                  <a:cs typeface="+mn-cs"/>
                </a:rPr>
                <a:t> CAGR is a reasoned projection based on available data and industry observations.</a:t>
              </a:r>
            </a:p>
            <a:p>
              <a:endParaRPr lang="en-IN" sz="1400"/>
            </a:p>
          </xdr:txBody>
        </xdr:sp>
      </mc:Fallback>
    </mc:AlternateContent>
    <xdr:clientData/>
  </xdr:twoCellAnchor>
  <xdr:twoCellAnchor>
    <xdr:from>
      <xdr:col>1</xdr:col>
      <xdr:colOff>0</xdr:colOff>
      <xdr:row>3</xdr:row>
      <xdr:rowOff>0</xdr:rowOff>
    </xdr:from>
    <xdr:to>
      <xdr:col>17</xdr:col>
      <xdr:colOff>0</xdr:colOff>
      <xdr:row>10</xdr:row>
      <xdr:rowOff>0</xdr:rowOff>
    </xdr:to>
    <xdr:sp macro="" textlink="">
      <xdr:nvSpPr>
        <xdr:cNvPr id="4" name="TextBox 3">
          <a:extLst>
            <a:ext uri="{FF2B5EF4-FFF2-40B4-BE49-F238E27FC236}">
              <a16:creationId xmlns:a16="http://schemas.microsoft.com/office/drawing/2014/main" id="{0FE16F6C-D3BA-0DED-FD3E-2C22826BB708}"/>
            </a:ext>
          </a:extLst>
        </xdr:cNvPr>
        <xdr:cNvSpPr txBox="1"/>
      </xdr:nvSpPr>
      <xdr:spPr>
        <a:xfrm>
          <a:off x="0" y="628650"/>
          <a:ext cx="9899650" cy="1289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This section provides a comprehensive analysis of the global fast food market and McDonald’s revenue potential under two distinct scenarios: </a:t>
          </a:r>
          <a:r>
            <a:rPr lang="en-IN" sz="1400" b="1">
              <a:solidFill>
                <a:schemeClr val="dk1"/>
              </a:solidFill>
              <a:effectLst/>
              <a:latin typeface="+mn-lt"/>
              <a:ea typeface="+mn-ea"/>
              <a:cs typeface="+mn-cs"/>
            </a:rPr>
            <a:t>Baseline Growth</a:t>
          </a:r>
          <a:r>
            <a:rPr lang="en-IN" sz="1400">
              <a:solidFill>
                <a:schemeClr val="dk1"/>
              </a:solidFill>
              <a:effectLst/>
              <a:latin typeface="+mn-lt"/>
              <a:ea typeface="+mn-ea"/>
              <a:cs typeface="+mn-cs"/>
            </a:rPr>
            <a:t>, representing a stable and optimistic market outlook, and </a:t>
          </a:r>
          <a:r>
            <a:rPr lang="en-IN" sz="1400" b="1">
              <a:solidFill>
                <a:schemeClr val="dk1"/>
              </a:solidFill>
              <a:effectLst/>
              <a:latin typeface="+mn-lt"/>
              <a:ea typeface="+mn-ea"/>
              <a:cs typeface="+mn-cs"/>
            </a:rPr>
            <a:t>Pandemic Disruption</a:t>
          </a:r>
          <a:r>
            <a:rPr lang="en-IN" sz="1400" b="0" baseline="0">
              <a:solidFill>
                <a:schemeClr val="dk1"/>
              </a:solidFill>
              <a:effectLst/>
              <a:latin typeface="+mn-lt"/>
              <a:ea typeface="+mn-ea"/>
              <a:cs typeface="+mn-cs"/>
            </a:rPr>
            <a:t> (which also includes </a:t>
          </a:r>
          <a:r>
            <a:rPr lang="en-IN" sz="1400" b="1" baseline="0">
              <a:solidFill>
                <a:schemeClr val="dk1"/>
              </a:solidFill>
              <a:effectLst/>
              <a:latin typeface="+mn-lt"/>
              <a:ea typeface="+mn-ea"/>
              <a:cs typeface="+mn-cs"/>
            </a:rPr>
            <a:t>Hindsight Scenario</a:t>
          </a:r>
          <a:r>
            <a:rPr lang="en-IN" sz="1400" b="0" baseline="0">
              <a:solidFill>
                <a:schemeClr val="dk1"/>
              </a:solidFill>
              <a:effectLst/>
              <a:latin typeface="+mn-lt"/>
              <a:ea typeface="+mn-ea"/>
              <a:cs typeface="+mn-cs"/>
            </a:rPr>
            <a:t>),</a:t>
          </a:r>
          <a:r>
            <a:rPr lang="en-IN" sz="1400">
              <a:solidFill>
                <a:schemeClr val="dk1"/>
              </a:solidFill>
              <a:effectLst/>
              <a:latin typeface="+mn-lt"/>
              <a:ea typeface="+mn-ea"/>
              <a:cs typeface="+mn-cs"/>
            </a:rPr>
            <a:t> simulating the impact of a severe global health crisis. The evaluation utilizes historical data from 2014 to 2018, adjusted to 2018 USD using BLS CPI-U indices, to inform growth assumptions and project outcomes through 2023. Each scenario is detailed below with supporting calculations and justifications, setting a solid foundation for the forecast that follows.</a:t>
          </a:r>
          <a:endParaRPr lang="en-IN" sz="1400">
            <a:effectLst/>
          </a:endParaRPr>
        </a:p>
        <a:p>
          <a:endParaRPr lang="en-IN" sz="1100"/>
        </a:p>
      </xdr:txBody>
    </xdr:sp>
    <xdr:clientData/>
  </xdr:twoCellAnchor>
  <xdr:twoCellAnchor>
    <xdr:from>
      <xdr:col>1</xdr:col>
      <xdr:colOff>0</xdr:colOff>
      <xdr:row>28</xdr:row>
      <xdr:rowOff>0</xdr:rowOff>
    </xdr:from>
    <xdr:to>
      <xdr:col>17</xdr:col>
      <xdr:colOff>0</xdr:colOff>
      <xdr:row>98</xdr:row>
      <xdr:rowOff>0</xdr:rowOff>
    </xdr:to>
    <xdr:sp macro="" textlink="">
      <xdr:nvSpPr>
        <xdr:cNvPr id="5" name="TextBox 4">
          <a:extLst>
            <a:ext uri="{FF2B5EF4-FFF2-40B4-BE49-F238E27FC236}">
              <a16:creationId xmlns:a16="http://schemas.microsoft.com/office/drawing/2014/main" id="{C6921681-2431-8E36-4D7F-FB302D5EE07F}"/>
            </a:ext>
          </a:extLst>
        </xdr:cNvPr>
        <xdr:cNvSpPr txBox="1"/>
      </xdr:nvSpPr>
      <xdr:spPr>
        <a:xfrm>
          <a:off x="611188" y="5191125"/>
          <a:ext cx="9921875" cy="12779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2) </a:t>
          </a:r>
          <a:r>
            <a:rPr lang="en-IN" sz="1400" b="1" u="sng">
              <a:solidFill>
                <a:schemeClr val="dk1"/>
              </a:solidFill>
              <a:effectLst/>
              <a:latin typeface="+mn-lt"/>
              <a:ea typeface="+mn-ea"/>
              <a:cs typeface="+mn-cs"/>
            </a:rPr>
            <a:t>Pandemic Disruption</a:t>
          </a:r>
          <a:r>
            <a:rPr lang="en-IN" sz="1400">
              <a:solidFill>
                <a:schemeClr val="dk1"/>
              </a:solidFill>
              <a:effectLst/>
              <a:latin typeface="+mn-lt"/>
              <a:ea typeface="+mn-ea"/>
              <a:cs typeface="+mn-cs"/>
            </a:rPr>
            <a:t>:</a:t>
          </a:r>
          <a:br>
            <a:rPr lang="en-IN" sz="1400">
              <a:solidFill>
                <a:schemeClr val="dk1"/>
              </a:solidFill>
              <a:effectLst/>
              <a:latin typeface="+mn-lt"/>
              <a:ea typeface="+mn-ea"/>
              <a:cs typeface="+mn-cs"/>
            </a:rPr>
          </a:br>
          <a:r>
            <a:rPr lang="en-IN" sz="1400">
              <a:solidFill>
                <a:schemeClr val="dk1"/>
              </a:solidFill>
              <a:effectLst/>
              <a:latin typeface="+mn-lt"/>
              <a:ea typeface="+mn-ea"/>
              <a:cs typeface="+mn-cs"/>
            </a:rPr>
            <a:t>In the Pandemic Disruption scenario, a reduced CAGR of </a:t>
          </a:r>
          <a:r>
            <a:rPr lang="en-IN" sz="1400" b="1">
              <a:solidFill>
                <a:schemeClr val="dk1"/>
              </a:solidFill>
              <a:effectLst/>
              <a:latin typeface="+mn-lt"/>
              <a:ea typeface="+mn-ea"/>
              <a:cs typeface="+mn-cs"/>
            </a:rPr>
            <a:t>1.5%</a:t>
          </a:r>
          <a:r>
            <a:rPr lang="en-IN" sz="1400">
              <a:solidFill>
                <a:schemeClr val="dk1"/>
              </a:solidFill>
              <a:effectLst/>
              <a:latin typeface="+mn-lt"/>
              <a:ea typeface="+mn-ea"/>
              <a:cs typeface="+mn-cs"/>
            </a:rPr>
            <a:t> is applied for the market size, reflecting the anticipated impact of a severe global pandemic starting in late 2019, with significant effects beginning in early 2020. The market remains stagnant in 2019–2020, followed by a </a:t>
          </a:r>
          <a:r>
            <a:rPr lang="en-IN" sz="1400" b="1">
              <a:solidFill>
                <a:schemeClr val="dk1"/>
              </a:solidFill>
              <a:effectLst/>
              <a:latin typeface="+mn-lt"/>
              <a:ea typeface="+mn-ea"/>
              <a:cs typeface="+mn-cs"/>
            </a:rPr>
            <a:t>1.5%</a:t>
          </a:r>
          <a:r>
            <a:rPr lang="en-IN" sz="1400">
              <a:solidFill>
                <a:schemeClr val="dk1"/>
              </a:solidFill>
              <a:effectLst/>
              <a:latin typeface="+mn-lt"/>
              <a:ea typeface="+mn-ea"/>
              <a:cs typeface="+mn-cs"/>
            </a:rPr>
            <a:t> CAGR recovery from 2021 onward. For McDonald’s, revenue grows by </a:t>
          </a:r>
          <a:r>
            <a:rPr lang="en-IN" sz="1400" b="1">
              <a:solidFill>
                <a:schemeClr val="dk1"/>
              </a:solidFill>
              <a:effectLst/>
              <a:latin typeface="+mn-lt"/>
              <a:ea typeface="+mn-ea"/>
              <a:cs typeface="+mn-cs"/>
            </a:rPr>
            <a:t>+5.0% </a:t>
          </a:r>
          <a:r>
            <a:rPr lang="en-IN" sz="1400">
              <a:solidFill>
                <a:schemeClr val="dk1"/>
              </a:solidFill>
              <a:effectLst/>
              <a:latin typeface="+mn-lt"/>
              <a:ea typeface="+mn-ea"/>
              <a:cs typeface="+mn-cs"/>
            </a:rPr>
            <a:t>in 2019, capturing initial resilience or demand surge in the early phase of the pandemic, followed by declines of </a:t>
          </a:r>
          <a:r>
            <a:rPr lang="en-IN" sz="1400" b="1">
              <a:solidFill>
                <a:schemeClr val="dk1"/>
              </a:solidFill>
              <a:effectLst/>
              <a:latin typeface="+mn-lt"/>
              <a:ea typeface="+mn-ea"/>
              <a:cs typeface="+mn-cs"/>
            </a:rPr>
            <a:t>-10.0% </a:t>
          </a:r>
          <a:r>
            <a:rPr lang="en-IN" sz="1400">
              <a:solidFill>
                <a:schemeClr val="dk1"/>
              </a:solidFill>
              <a:effectLst/>
              <a:latin typeface="+mn-lt"/>
              <a:ea typeface="+mn-ea"/>
              <a:cs typeface="+mn-cs"/>
            </a:rPr>
            <a:t>in 2020 and </a:t>
          </a:r>
          <a:r>
            <a:rPr lang="en-IN" sz="1400" b="1">
              <a:solidFill>
                <a:schemeClr val="dk1"/>
              </a:solidFill>
              <a:effectLst/>
              <a:latin typeface="+mn-lt"/>
              <a:ea typeface="+mn-ea"/>
              <a:cs typeface="+mn-cs"/>
            </a:rPr>
            <a:t>-14.0% </a:t>
          </a:r>
          <a:r>
            <a:rPr lang="en-IN" sz="1400">
              <a:solidFill>
                <a:schemeClr val="dk1"/>
              </a:solidFill>
              <a:effectLst/>
              <a:latin typeface="+mn-lt"/>
              <a:ea typeface="+mn-ea"/>
              <a:cs typeface="+mn-cs"/>
            </a:rPr>
            <a:t>in 2021 as the crisis peaks with reduced consumer activity and operational constraints. A gradual recovery begins in 2022 with </a:t>
          </a:r>
          <a:r>
            <a:rPr lang="en-IN" sz="1400" b="1">
              <a:solidFill>
                <a:schemeClr val="dk1"/>
              </a:solidFill>
              <a:effectLst/>
              <a:latin typeface="+mn-lt"/>
              <a:ea typeface="+mn-ea"/>
              <a:cs typeface="+mn-cs"/>
            </a:rPr>
            <a:t>+8.0% </a:t>
          </a:r>
          <a:r>
            <a:rPr lang="en-IN" sz="1400">
              <a:solidFill>
                <a:schemeClr val="dk1"/>
              </a:solidFill>
              <a:effectLst/>
              <a:latin typeface="+mn-lt"/>
              <a:ea typeface="+mn-ea"/>
              <a:cs typeface="+mn-cs"/>
            </a:rPr>
            <a:t>growth, followed by </a:t>
          </a:r>
          <a:r>
            <a:rPr lang="en-IN" sz="1400" b="1">
              <a:solidFill>
                <a:schemeClr val="dk1"/>
              </a:solidFill>
              <a:effectLst/>
              <a:latin typeface="+mn-lt"/>
              <a:ea typeface="+mn-ea"/>
              <a:cs typeface="+mn-cs"/>
            </a:rPr>
            <a:t>+5.0% </a:t>
          </a:r>
          <a:r>
            <a:rPr lang="en-IN" sz="1400">
              <a:solidFill>
                <a:schemeClr val="dk1"/>
              </a:solidFill>
              <a:effectLst/>
              <a:latin typeface="+mn-lt"/>
              <a:ea typeface="+mn-ea"/>
              <a:cs typeface="+mn-cs"/>
            </a:rPr>
            <a:t>in 2023, accounting for a cautious market rebound under challenging conditions. These trends are informed by McDonald’s historical performance during pre-2018 crises, such as the 2003 SARS outbreak (1–5% sales impact, 5–10% recovery) and the 2008–2009 financial crisis (flat to 5% growth, 5–6% recovery), as well as your 2014–2018 data (average 7.8% decline). Industry insights from the 2003 SARS period (10–40% declines in hospitality) and economic downturns (5–15% recovery rates) provide additional context. The timeline—late 2019 onset, early 2020 impact, 2021 peak, and 2022–2023 recovery—captures a realistic progression of a severe pandemic, balancing McDonald’s operational strengths with the crisis’s severity.</a:t>
          </a:r>
        </a:p>
        <a:p>
          <a:pPr marL="0" marR="0" lvl="0" indent="0" defTabSz="914400" eaLnBrk="1" fontAlgn="auto" latinLnBrk="0" hangingPunct="1">
            <a:lnSpc>
              <a:spcPct val="100000"/>
            </a:lnSpc>
            <a:spcBef>
              <a:spcPts val="0"/>
            </a:spcBef>
            <a:spcAft>
              <a:spcPts val="0"/>
            </a:spcAft>
            <a:buClrTx/>
            <a:buSzTx/>
            <a:buFontTx/>
            <a:buNone/>
            <a:tabLst/>
            <a:defRPr/>
          </a:pPr>
          <a:endParaRPr lang="en-IN" sz="1400">
            <a:solidFill>
              <a:schemeClr val="dk1"/>
            </a:solidFill>
            <a:effectLst/>
            <a:latin typeface="+mn-lt"/>
            <a:ea typeface="+mn-ea"/>
            <a:cs typeface="+mn-cs"/>
          </a:endParaRPr>
        </a:p>
        <a:p>
          <a:pPr rtl="0"/>
          <a:r>
            <a:rPr lang="en-IN" sz="1100" b="1" u="sng">
              <a:solidFill>
                <a:schemeClr val="dk1"/>
              </a:solidFill>
              <a:effectLst/>
              <a:latin typeface="+mn-lt"/>
              <a:ea typeface="+mn-ea"/>
              <a:cs typeface="+mn-cs"/>
            </a:rPr>
            <a:t>2019: +5.0% Growth </a:t>
          </a:r>
        </a:p>
        <a:p>
          <a:pPr rtl="0"/>
          <a:r>
            <a:rPr lang="en-IN" sz="1000">
              <a:solidFill>
                <a:schemeClr val="dk1"/>
              </a:solidFill>
              <a:effectLst/>
              <a:latin typeface="+mn-lt"/>
              <a:ea typeface="+mn-ea"/>
              <a:cs typeface="+mn-cs"/>
            </a:rPr>
            <a:t>In 2019, McDonald’s revenue increases by 5.0%. This growth reflects the early phase of the pandemic, starting in late 2019, before its full impact is felt. Historically, during the initial stages of crises, fast food chains like McDonald’s often experience a demand surge as consumers turn to affordable, convenient, and perceived ‘safe’ dining options. For example, during the 2003 SARS outbreak in Asia, McDonald’s reported stable or slightly increased sales in affected regions (e.g., Hong Kong, China), as noted in their 2003 annual report, with global revenues growing by 1–2% despite regional disruptions (McDonald’s 2003 10-K). This was attributed to consumers favoring quick-service restaurants over dine-in establishments due to health concerns. Similarly, during the 2008–2009 financial crisis, McDonald’s global revenues grew by 3–5% in 2009 (McDonald’s 2009 10-K), driven by its value menu and drive-thru operations.</a:t>
          </a:r>
        </a:p>
        <a:p>
          <a:pPr rtl="0"/>
          <a:endParaRPr lang="en-IN" sz="1000">
            <a:solidFill>
              <a:schemeClr val="dk1"/>
            </a:solidFill>
            <a:effectLst/>
            <a:latin typeface="+mn-lt"/>
            <a:ea typeface="+mn-ea"/>
            <a:cs typeface="+mn-cs"/>
          </a:endParaRPr>
        </a:p>
        <a:p>
          <a:pPr rtl="0"/>
          <a:r>
            <a:rPr lang="en-IN" sz="1100" b="1" u="sng">
              <a:solidFill>
                <a:schemeClr val="dk1"/>
              </a:solidFill>
              <a:effectLst/>
              <a:latin typeface="+mn-lt"/>
              <a:ea typeface="+mn-ea"/>
              <a:cs typeface="+mn-cs"/>
            </a:rPr>
            <a:t>2020: -10.0% Decline </a:t>
          </a:r>
        </a:p>
        <a:p>
          <a:pPr rtl="0"/>
          <a:r>
            <a:rPr lang="en-IN" sz="1100">
              <a:solidFill>
                <a:schemeClr val="dk1"/>
              </a:solidFill>
              <a:effectLst/>
              <a:latin typeface="+mn-lt"/>
              <a:ea typeface="+mn-ea"/>
              <a:cs typeface="+mn-cs"/>
            </a:rPr>
            <a:t>In 2020, revenue declines by 10.0%. This decrease reflects the pandemic’s full impact, starting in early 2020, with global restrictions, reduced foot traffic, and economic uncertainty affecting the fast food industry. While McDonald’s typically performs better than other sectors during downturns, a severe pandemic would pose significant challenges, such as temporary store closures and supply chain disruptions. During the 2003 SARS outbreak, the broader hospitality sector in affected regions saw revenue declines of 10–30% (World Health Organization, 2003; Hong Kong Tourism Board, 2004), though McDonald’s mitigated losses through drive-thru and takeout, reporting a milder 1–3% sales dip in Asia (McDonald’s 2003 10-Q). In the 2008–2009 financial crisis, McDonald’s global same-store sales remained flat or declined slightly (e.g., -2% in some regions, per 2009 10-K), but overall revenues grew due to expansion. In this harsher scenario, a 10.0% decline accounts for a more significant impact, assuming dine-in restrictions and economic contraction.</a:t>
          </a:r>
        </a:p>
        <a:p>
          <a:pPr rtl="0"/>
          <a:endParaRPr lang="en-IN" sz="1100">
            <a:solidFill>
              <a:schemeClr val="dk1"/>
            </a:solidFill>
            <a:effectLst/>
            <a:latin typeface="+mn-lt"/>
            <a:ea typeface="+mn-ea"/>
            <a:cs typeface="+mn-cs"/>
          </a:endParaRPr>
        </a:p>
        <a:p>
          <a:pPr rtl="0"/>
          <a:r>
            <a:rPr lang="en-IN" sz="1100" b="1" u="sng">
              <a:solidFill>
                <a:schemeClr val="dk1"/>
              </a:solidFill>
              <a:effectLst/>
              <a:latin typeface="+mn-lt"/>
              <a:ea typeface="+mn-ea"/>
              <a:cs typeface="+mn-cs"/>
            </a:rPr>
            <a:t>2021: -14.0% Decline </a:t>
          </a:r>
        </a:p>
        <a:p>
          <a:pPr rtl="0"/>
          <a:r>
            <a:rPr lang="en-IN" sz="1100">
              <a:solidFill>
                <a:schemeClr val="dk1"/>
              </a:solidFill>
              <a:effectLst/>
              <a:latin typeface="+mn-lt"/>
              <a:ea typeface="+mn-ea"/>
              <a:cs typeface="+mn-cs"/>
            </a:rPr>
            <a:t>In 2021, revenue declines further by 14.0%. This represents the peak impact of the pandemic, with prolonged restrictions, reduced consumer spending, and operational challenges (e.g., labor shortages, supply chain issues) exacerbating the downturn. The deeper decline in 2021 compared to 2020 captures a delayed peak in the crisis, potentially due to secondary waves or extended economic fallout. During the 2003 SARS outbreak, some hospitality sectors saw cumulative declines of 20–40% over multiple quarters (Asian Development Bank, 2004), with fast food chains like McDonald’s experiencing milder but still notable impacts (e.g., 3–5% sales drops in Q2 2003, per McDonald’s 2003 10-Q). In the 2008–2009 financial crisis, McDonald’s saw flat or declining same-store sales in 2009 (e.g., -2% in Europe, per 2009 10-K), with recovery delayed in some markets. In this scenario, a 14.0% decline reflects a worse-case impact.</a:t>
          </a:r>
        </a:p>
        <a:p>
          <a:pPr rtl="0"/>
          <a:endParaRPr lang="en-IN" sz="1100">
            <a:solidFill>
              <a:schemeClr val="dk1"/>
            </a:solidFill>
            <a:effectLst/>
            <a:latin typeface="+mn-lt"/>
            <a:ea typeface="+mn-ea"/>
            <a:cs typeface="+mn-cs"/>
          </a:endParaRPr>
        </a:p>
        <a:p>
          <a:pPr rtl="0"/>
          <a:r>
            <a:rPr lang="en-IN" sz="1100" b="1">
              <a:solidFill>
                <a:schemeClr val="dk1"/>
              </a:solidFill>
              <a:effectLst/>
              <a:latin typeface="+mn-lt"/>
              <a:ea typeface="+mn-ea"/>
              <a:cs typeface="+mn-cs"/>
            </a:rPr>
            <a:t>2022: +8.0% Growth</a:t>
          </a:r>
        </a:p>
        <a:p>
          <a:pPr rtl="0"/>
          <a:r>
            <a:rPr lang="en-IN" sz="1100">
              <a:solidFill>
                <a:schemeClr val="dk1"/>
              </a:solidFill>
              <a:effectLst/>
              <a:latin typeface="+mn-lt"/>
              <a:ea typeface="+mn-ea"/>
              <a:cs typeface="+mn-cs"/>
            </a:rPr>
            <a:t>In 2022, revenue grows by 8.0%, marking the start of recovery as the pandemic eases. This rebound reflects the lifting of restrictions, a resurgence in consumer confidence, and McDonald’s operational adaptations (e.g., expanded takeout, reopened stores). Post-SARS, McDonald’s in affected regions saw sales recover by 5–10% in 2004 (McDonald’s 2004 10-K), driven by pent-up demand and operational improvements. During the recovery from the 2008–2009 financial crisis, McDonald’s global same-store sales grew by 5.6% in 2010 (McDonald’s 2010 10-K), supported by value offerings and market expansion. In this scenario, an 8.0% growth rate aligns with these historical recovery patterns.</a:t>
          </a:r>
        </a:p>
        <a:p>
          <a:pPr rtl="0"/>
          <a:endParaRPr lang="en-IN" sz="1100">
            <a:solidFill>
              <a:schemeClr val="dk1"/>
            </a:solidFill>
            <a:effectLst/>
            <a:latin typeface="+mn-lt"/>
            <a:ea typeface="+mn-ea"/>
            <a:cs typeface="+mn-cs"/>
          </a:endParaRPr>
        </a:p>
        <a:p>
          <a:pPr rtl="0"/>
          <a:r>
            <a:rPr lang="en-IN" sz="1100" b="1">
              <a:solidFill>
                <a:schemeClr val="dk1"/>
              </a:solidFill>
              <a:effectLst/>
              <a:latin typeface="+mn-lt"/>
              <a:ea typeface="+mn-ea"/>
              <a:cs typeface="+mn-cs"/>
            </a:rPr>
            <a:t>2023: +5.0% Growth</a:t>
          </a:r>
        </a:p>
        <a:p>
          <a:pPr rtl="0"/>
          <a:r>
            <a:rPr lang="en-IN" sz="1100">
              <a:solidFill>
                <a:schemeClr val="dk1"/>
              </a:solidFill>
              <a:effectLst/>
              <a:latin typeface="+mn-lt"/>
              <a:ea typeface="+mn-ea"/>
              <a:cs typeface="+mn-cs"/>
            </a:rPr>
            <a:t>In 2023, revenue grows by 5.0%, indicating continued but slower recovery as the market stabilizes. This growth reflects sustained improvements in consumer spending, operational efficiency, and market expansion post-pandemic. After the 2003 SARS outbreak, McDonald’s maintained steady growth of 3–5% in 2005 in previously affected regions (McDonald’s 2005 10-K), supported by renewed consumer confidence. Similarly, post-2009 financial crisis, McDonald’s global same-store sales grew by 5.0% in 2011 (McDonald’s 2011 10-K), driven by menu innovation and global expansion. In this scenario, a 5.0% growth rate matches these historical trends.</a:t>
          </a:r>
        </a:p>
        <a:p>
          <a:pPr rtl="0"/>
          <a:endParaRPr lang="en-IN" sz="11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u="sng">
              <a:solidFill>
                <a:schemeClr val="dk1"/>
              </a:solidFill>
              <a:effectLst/>
              <a:latin typeface="+mn-lt"/>
              <a:ea typeface="+mn-ea"/>
              <a:cs typeface="+mn-cs"/>
            </a:rPr>
            <a:t>Hindsight Scenario </a:t>
          </a:r>
          <a:r>
            <a:rPr lang="en-US" sz="1400">
              <a:solidFill>
                <a:schemeClr val="dk1"/>
              </a:solidFill>
              <a:effectLst/>
              <a:latin typeface="+mn-lt"/>
              <a:ea typeface="+mn-ea"/>
              <a:cs typeface="+mn-cs"/>
            </a:rPr>
            <a:t>:</a:t>
          </a:r>
          <a:br>
            <a:rPr lang="en-US" sz="1400">
              <a:solidFill>
                <a:schemeClr val="dk1"/>
              </a:solidFill>
              <a:effectLst/>
              <a:latin typeface="+mn-lt"/>
              <a:ea typeface="+mn-ea"/>
              <a:cs typeface="+mn-cs"/>
            </a:rPr>
          </a:br>
          <a:r>
            <a:rPr lang="en-US" sz="1400">
              <a:solidFill>
                <a:schemeClr val="dk1"/>
              </a:solidFill>
              <a:effectLst/>
              <a:latin typeface="+mn-lt"/>
              <a:ea typeface="+mn-ea"/>
              <a:cs typeface="+mn-cs"/>
            </a:rPr>
            <a:t>The Hindsight scenario assumes a </a:t>
          </a:r>
          <a:r>
            <a:rPr lang="en-US" sz="1400" b="1">
              <a:solidFill>
                <a:schemeClr val="dk1"/>
              </a:solidFill>
              <a:effectLst/>
              <a:latin typeface="+mn-lt"/>
              <a:ea typeface="+mn-ea"/>
              <a:cs typeface="+mn-cs"/>
            </a:rPr>
            <a:t>2%</a:t>
          </a:r>
          <a:r>
            <a:rPr lang="en-US" sz="1400">
              <a:solidFill>
                <a:schemeClr val="dk1"/>
              </a:solidFill>
              <a:effectLst/>
              <a:latin typeface="+mn-lt"/>
              <a:ea typeface="+mn-ea"/>
              <a:cs typeface="+mn-cs"/>
            </a:rPr>
            <a:t> compound annual growth rate (CAGR) for the global fast-food market, representing a moderate growth outlook. This rate was chosen as a balanced middle ground between the optimistic Baseline scenario (</a:t>
          </a:r>
          <a:r>
            <a:rPr lang="en-US" sz="1400" b="1">
              <a:solidFill>
                <a:schemeClr val="dk1"/>
              </a:solidFill>
              <a:effectLst/>
              <a:latin typeface="+mn-lt"/>
              <a:ea typeface="+mn-ea"/>
              <a:cs typeface="+mn-cs"/>
            </a:rPr>
            <a:t>4% </a:t>
          </a:r>
          <a:r>
            <a:rPr lang="en-US" sz="1400">
              <a:solidFill>
                <a:schemeClr val="dk1"/>
              </a:solidFill>
              <a:effectLst/>
              <a:latin typeface="+mn-lt"/>
              <a:ea typeface="+mn-ea"/>
              <a:cs typeface="+mn-cs"/>
            </a:rPr>
            <a:t>CAGR) and the pessimistic Worst-Case scenario (</a:t>
          </a:r>
          <a:r>
            <a:rPr lang="en-US" sz="1400" b="1">
              <a:solidFill>
                <a:schemeClr val="dk1"/>
              </a:solidFill>
              <a:effectLst/>
              <a:latin typeface="+mn-lt"/>
              <a:ea typeface="+mn-ea"/>
              <a:cs typeface="+mn-cs"/>
            </a:rPr>
            <a:t>1.5%</a:t>
          </a:r>
          <a:r>
            <a:rPr lang="en-US" sz="1400">
              <a:solidFill>
                <a:schemeClr val="dk1"/>
              </a:solidFill>
              <a:effectLst/>
              <a:latin typeface="+mn-lt"/>
              <a:ea typeface="+mn-ea"/>
              <a:cs typeface="+mn-cs"/>
            </a:rPr>
            <a:t> CAGR). It reflects potential market uncertainties—such as economic fluctuations or moderate disruptions—while still recognizing the fast-food industry’s historical resilience and ability to sustain growth in challenging conditions. This scenario enriches the analysis by offering a nuanced view of possible market outcomes.</a:t>
          </a:r>
        </a:p>
        <a:p>
          <a:pPr rtl="0"/>
          <a:endParaRPr lang="en-IN" sz="1100"/>
        </a:p>
        <a:p>
          <a:pPr rtl="0"/>
          <a:r>
            <a:rPr lang="en-IN" sz="1400" b="1" i="1" u="sng"/>
            <a:t>Note</a:t>
          </a:r>
          <a:r>
            <a:rPr lang="en-IN" sz="1400"/>
            <a: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a:solidFill>
                <a:schemeClr val="dk1"/>
              </a:solidFill>
              <a:effectLst/>
              <a:latin typeface="+mn-lt"/>
              <a:ea typeface="+mn-ea"/>
              <a:cs typeface="+mn-cs"/>
            </a:rPr>
            <a:t>The </a:t>
          </a:r>
          <a:r>
            <a:rPr lang="en-US" sz="1400" b="0" u="sng">
              <a:solidFill>
                <a:schemeClr val="dk1"/>
              </a:solidFill>
              <a:effectLst/>
              <a:latin typeface="+mn-lt"/>
              <a:ea typeface="+mn-ea"/>
              <a:cs typeface="+mn-cs"/>
            </a:rPr>
            <a:t>Pandemic Disruption </a:t>
          </a:r>
          <a:r>
            <a:rPr lang="en-US" sz="1400" b="0">
              <a:solidFill>
                <a:schemeClr val="dk1"/>
              </a:solidFill>
              <a:effectLst/>
              <a:latin typeface="+mn-lt"/>
              <a:ea typeface="+mn-ea"/>
              <a:cs typeface="+mn-cs"/>
            </a:rPr>
            <a:t>scenario uses revenue trends derived from the 2003 SARS outbreak (</a:t>
          </a:r>
          <a:r>
            <a:rPr lang="en-US" sz="1400" b="1">
              <a:solidFill>
                <a:schemeClr val="dk1"/>
              </a:solidFill>
              <a:effectLst/>
              <a:latin typeface="+mn-lt"/>
              <a:ea typeface="+mn-ea"/>
              <a:cs typeface="+mn-cs"/>
            </a:rPr>
            <a:t>-10% </a:t>
          </a:r>
          <a:r>
            <a:rPr lang="en-US" sz="1400" b="0">
              <a:solidFill>
                <a:schemeClr val="dk1"/>
              </a:solidFill>
              <a:effectLst/>
              <a:latin typeface="+mn-lt"/>
              <a:ea typeface="+mn-ea"/>
              <a:cs typeface="+mn-cs"/>
            </a:rPr>
            <a:t>in 2020, </a:t>
          </a:r>
          <a:r>
            <a:rPr lang="en-US" sz="1400" b="1">
              <a:solidFill>
                <a:schemeClr val="dk1"/>
              </a:solidFill>
              <a:effectLst/>
              <a:latin typeface="+mn-lt"/>
              <a:ea typeface="+mn-ea"/>
              <a:cs typeface="+mn-cs"/>
            </a:rPr>
            <a:t>-14% </a:t>
          </a:r>
          <a:r>
            <a:rPr lang="en-US" sz="1400" b="0">
              <a:solidFill>
                <a:schemeClr val="dk1"/>
              </a:solidFill>
              <a:effectLst/>
              <a:latin typeface="+mn-lt"/>
              <a:ea typeface="+mn-ea"/>
              <a:cs typeface="+mn-cs"/>
            </a:rPr>
            <a:t>in 2021) and the 2008 financial crisis, reflecting a company-specific impact during severe disruptions. These percentages were retained in </a:t>
          </a:r>
          <a:r>
            <a:rPr lang="en-US" sz="1400" b="0" u="sng">
              <a:solidFill>
                <a:schemeClr val="dk1"/>
              </a:solidFill>
              <a:effectLst/>
              <a:latin typeface="+mn-lt"/>
              <a:ea typeface="+mn-ea"/>
              <a:cs typeface="+mn-cs"/>
            </a:rPr>
            <a:t>Hindsight</a:t>
          </a:r>
          <a:r>
            <a:rPr lang="en-US" sz="1400" b="0" u="sng" baseline="0">
              <a:solidFill>
                <a:schemeClr val="dk1"/>
              </a:solidFill>
              <a:effectLst/>
              <a:latin typeface="+mn-lt"/>
              <a:ea typeface="+mn-ea"/>
              <a:cs typeface="+mn-cs"/>
            </a:rPr>
            <a:t> scenario</a:t>
          </a:r>
          <a:r>
            <a:rPr lang="en-US" sz="1400" b="0" u="none" baseline="0">
              <a:solidFill>
                <a:schemeClr val="dk1"/>
              </a:solidFill>
              <a:effectLst/>
              <a:latin typeface="+mn-lt"/>
              <a:ea typeface="+mn-ea"/>
              <a:cs typeface="+mn-cs"/>
            </a:rPr>
            <a:t> </a:t>
          </a:r>
          <a:r>
            <a:rPr lang="en-US" sz="1400" b="0">
              <a:solidFill>
                <a:schemeClr val="dk1"/>
              </a:solidFill>
              <a:effectLst/>
              <a:latin typeface="+mn-lt"/>
              <a:ea typeface="+mn-ea"/>
              <a:cs typeface="+mn-cs"/>
            </a:rPr>
            <a:t>to maintain consistency with historical crisis data, which show how unprepared companies can face significant revenue declines even in a resilient market. While the global fast-food market may exhibit moderate growth (</a:t>
          </a:r>
          <a:r>
            <a:rPr lang="en-US" sz="1400" b="1">
              <a:solidFill>
                <a:schemeClr val="dk1"/>
              </a:solidFill>
              <a:effectLst/>
              <a:latin typeface="+mn-lt"/>
              <a:ea typeface="+mn-ea"/>
              <a:cs typeface="+mn-cs"/>
            </a:rPr>
            <a:t>2% </a:t>
          </a:r>
          <a:r>
            <a:rPr lang="en-US" sz="1400" b="0">
              <a:solidFill>
                <a:schemeClr val="dk1"/>
              </a:solidFill>
              <a:effectLst/>
              <a:latin typeface="+mn-lt"/>
              <a:ea typeface="+mn-ea"/>
              <a:cs typeface="+mn-cs"/>
            </a:rPr>
            <a:t>CAGR in the </a:t>
          </a:r>
          <a:r>
            <a:rPr lang="en-US" sz="1400" b="0" u="sng">
              <a:solidFill>
                <a:schemeClr val="dk1"/>
              </a:solidFill>
              <a:effectLst/>
              <a:latin typeface="+mn-lt"/>
              <a:ea typeface="+mn-ea"/>
              <a:cs typeface="+mn-cs"/>
            </a:rPr>
            <a:t>Hindsight scenario</a:t>
          </a:r>
          <a:r>
            <a:rPr lang="en-US" sz="1400" b="0">
              <a:solidFill>
                <a:schemeClr val="dk1"/>
              </a:solidFill>
              <a:effectLst/>
              <a:latin typeface="+mn-lt"/>
              <a:ea typeface="+mn-ea"/>
              <a:cs typeface="+mn-cs"/>
            </a:rPr>
            <a:t>), a company like McDonald’s might not perform as well if it fails to adapt</a:t>
          </a:r>
          <a:r>
            <a:rPr lang="en-US" sz="1400" b="0" baseline="0">
              <a:solidFill>
                <a:schemeClr val="dk1"/>
              </a:solidFill>
              <a:effectLst/>
              <a:latin typeface="+mn-lt"/>
              <a:ea typeface="+mn-ea"/>
              <a:cs typeface="+mn-cs"/>
            </a:rPr>
            <a:t> (</a:t>
          </a:r>
          <a:r>
            <a:rPr lang="en-US" sz="1400" b="0">
              <a:solidFill>
                <a:schemeClr val="dk1"/>
              </a:solidFill>
              <a:effectLst/>
              <a:latin typeface="+mn-lt"/>
              <a:ea typeface="+mn-ea"/>
              <a:cs typeface="+mn-cs"/>
            </a:rPr>
            <a:t>delayed adoption of alternatives like delivery, digital sales platforms). The </a:t>
          </a:r>
          <a:r>
            <a:rPr lang="en-US" sz="1400" b="1">
              <a:solidFill>
                <a:schemeClr val="dk1"/>
              </a:solidFill>
              <a:effectLst/>
              <a:latin typeface="+mn-lt"/>
              <a:ea typeface="+mn-ea"/>
              <a:cs typeface="+mn-cs"/>
            </a:rPr>
            <a:t>-10% </a:t>
          </a:r>
          <a:r>
            <a:rPr lang="en-US" sz="1400" b="0">
              <a:solidFill>
                <a:schemeClr val="dk1"/>
              </a:solidFill>
              <a:effectLst/>
              <a:latin typeface="+mn-lt"/>
              <a:ea typeface="+mn-ea"/>
              <a:cs typeface="+mn-cs"/>
            </a:rPr>
            <a:t>and </a:t>
          </a:r>
          <a:r>
            <a:rPr lang="en-US" sz="1400" b="1">
              <a:solidFill>
                <a:schemeClr val="dk1"/>
              </a:solidFill>
              <a:effectLst/>
              <a:latin typeface="+mn-lt"/>
              <a:ea typeface="+mn-ea"/>
              <a:cs typeface="+mn-cs"/>
            </a:rPr>
            <a:t>-14% </a:t>
          </a:r>
          <a:r>
            <a:rPr lang="en-US" sz="1400" b="0">
              <a:solidFill>
                <a:schemeClr val="dk1"/>
              </a:solidFill>
              <a:effectLst/>
              <a:latin typeface="+mn-lt"/>
              <a:ea typeface="+mn-ea"/>
              <a:cs typeface="+mn-cs"/>
            </a:rPr>
            <a:t>drops model a worst-case outcome where such unpreparedness amplifies revenue impacts beyond market trends, capturing vulnerability of a single company in a crisis. This approach provides a contrast to more moderate scenarios and highlighting the potential gap between market resilience and company-specific outcomes.</a:t>
          </a:r>
        </a:p>
        <a:p>
          <a:pPr rtl="0"/>
          <a:endParaRPr lang="en-IN" sz="1100"/>
        </a:p>
      </xdr:txBody>
    </xdr:sp>
    <xdr:clientData/>
  </xdr:twoCellAnchor>
  <xdr:twoCellAnchor>
    <xdr:from>
      <xdr:col>1</xdr:col>
      <xdr:colOff>0</xdr:colOff>
      <xdr:row>100</xdr:row>
      <xdr:rowOff>0</xdr:rowOff>
    </xdr:from>
    <xdr:to>
      <xdr:col>17</xdr:col>
      <xdr:colOff>0</xdr:colOff>
      <xdr:row>110</xdr:row>
      <xdr:rowOff>0</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CC2500-801D-00F0-3B56-015C19442E08}"/>
                </a:ext>
              </a:extLst>
            </xdr:cNvPr>
            <xdr:cNvSpPr txBox="1"/>
          </xdr:nvSpPr>
          <xdr:spPr>
            <a:xfrm>
              <a:off x="0" y="14319250"/>
              <a:ext cx="9921875" cy="182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solidFill>
                    <a:schemeClr val="dk1"/>
                  </a:solidFill>
                  <a:effectLst/>
                  <a:latin typeface="+mn-lt"/>
                  <a:ea typeface="+mn-ea"/>
                  <a:cs typeface="+mn-cs"/>
                </a:rPr>
                <a:t>General Note</a:t>
              </a:r>
              <a:r>
                <a:rPr lang="en-IN" sz="1400">
                  <a:solidFill>
                    <a:schemeClr val="dk1"/>
                  </a:solidFill>
                  <a:effectLst/>
                  <a:latin typeface="+mn-lt"/>
                  <a:ea typeface="+mn-ea"/>
                  <a:cs typeface="+mn-cs"/>
                </a:rPr>
                <a:t>:</a:t>
              </a:r>
              <a:br>
                <a:rPr lang="en-IN" sz="1400">
                  <a:solidFill>
                    <a:schemeClr val="dk1"/>
                  </a:solidFill>
                  <a:effectLst/>
                  <a:latin typeface="+mn-lt"/>
                  <a:ea typeface="+mn-ea"/>
                  <a:cs typeface="+mn-cs"/>
                </a:rPr>
              </a:br>
              <a:r>
                <a:rPr lang="en-IN" sz="1400">
                  <a:solidFill>
                    <a:schemeClr val="dk1"/>
                  </a:solidFill>
                  <a:effectLst/>
                  <a:latin typeface="+mn-lt"/>
                  <a:ea typeface="+mn-ea"/>
                  <a:cs typeface="+mn-cs"/>
                </a:rPr>
                <a:t>All financial figures are presented in 2018 USD, adjusted using BLS CPI-U multipliers to account for inflation. The CPI multipliers for 2019–2023 (0.990, 0.980, 0.970, 0.960, 0.950) are derived from an assumed </a:t>
              </a:r>
              <a:r>
                <a:rPr lang="en-IN" sz="1400" b="1">
                  <a:solidFill>
                    <a:schemeClr val="dk1"/>
                  </a:solidFill>
                  <a:effectLst/>
                  <a:latin typeface="+mn-lt"/>
                  <a:ea typeface="+mn-ea"/>
                  <a:cs typeface="+mn-cs"/>
                </a:rPr>
                <a:t>1%</a:t>
              </a:r>
              <a:r>
                <a:rPr lang="en-IN" sz="1400">
                  <a:solidFill>
                    <a:schemeClr val="dk1"/>
                  </a:solidFill>
                  <a:effectLst/>
                  <a:latin typeface="+mn-lt"/>
                  <a:ea typeface="+mn-ea"/>
                  <a:cs typeface="+mn-cs"/>
                </a:rPr>
                <a:t> annual inflation rate, calculated as:  </a:t>
              </a:r>
              <a14:m>
                <m:oMath xmlns:m="http://schemas.openxmlformats.org/officeDocument/2006/math">
                  <m:f>
                    <m:fPr>
                      <m:ctrlPr>
                        <a:rPr lang="en-IN" sz="1400" i="1">
                          <a:solidFill>
                            <a:schemeClr val="dk1"/>
                          </a:solidFill>
                          <a:effectLst/>
                          <a:latin typeface="Cambria Math" panose="02040503050406030204" pitchFamily="18" charset="0"/>
                          <a:ea typeface="+mn-ea"/>
                          <a:cs typeface="+mn-cs"/>
                        </a:rPr>
                      </m:ctrlPr>
                    </m:fPr>
                    <m:num>
                      <m:r>
                        <a:rPr lang="en-IN" sz="1400">
                          <a:solidFill>
                            <a:schemeClr val="dk1"/>
                          </a:solidFill>
                          <a:effectLst/>
                          <a:latin typeface="Cambria Math" panose="02040503050406030204" pitchFamily="18" charset="0"/>
                          <a:ea typeface="+mn-ea"/>
                          <a:cs typeface="+mn-cs"/>
                        </a:rPr>
                        <m:t>1</m:t>
                      </m:r>
                    </m:num>
                    <m:den>
                      <m:r>
                        <a:rPr lang="en-IN" sz="1400" i="0">
                          <a:solidFill>
                            <a:schemeClr val="dk1"/>
                          </a:solidFill>
                          <a:effectLst/>
                          <a:latin typeface="Cambria Math" panose="02040503050406030204" pitchFamily="18" charset="0"/>
                          <a:ea typeface="+mn-ea"/>
                          <a:cs typeface="+mn-cs"/>
                        </a:rPr>
                        <m:t>1+</m:t>
                      </m:r>
                      <m:sSup>
                        <m:sSupPr>
                          <m:ctrlPr>
                            <a:rPr lang="en-IN" sz="1400" i="1">
                              <a:solidFill>
                                <a:schemeClr val="dk1"/>
                              </a:solidFill>
                              <a:effectLst/>
                              <a:latin typeface="Cambria Math" panose="02040503050406030204" pitchFamily="18" charset="0"/>
                              <a:ea typeface="+mn-ea"/>
                              <a:cs typeface="+mn-cs"/>
                            </a:rPr>
                          </m:ctrlPr>
                        </m:sSupPr>
                        <m:e>
                          <m:r>
                            <a:rPr lang="en-IN" sz="1400" i="0">
                              <a:solidFill>
                                <a:schemeClr val="dk1"/>
                              </a:solidFill>
                              <a:effectLst/>
                              <a:latin typeface="Cambria Math" panose="02040503050406030204" pitchFamily="18" charset="0"/>
                              <a:ea typeface="+mn-ea"/>
                              <a:cs typeface="+mn-cs"/>
                            </a:rPr>
                            <m:t>0.01</m:t>
                          </m:r>
                        </m:e>
                        <m:sup>
                          <m:d>
                            <m:dPr>
                              <m:ctrlPr>
                                <a:rPr lang="en-IN" sz="1400" i="1">
                                  <a:solidFill>
                                    <a:schemeClr val="dk1"/>
                                  </a:solidFill>
                                  <a:effectLst/>
                                  <a:latin typeface="Cambria Math" panose="02040503050406030204" pitchFamily="18" charset="0"/>
                                  <a:ea typeface="+mn-ea"/>
                                  <a:cs typeface="+mn-cs"/>
                                </a:rPr>
                              </m:ctrlPr>
                            </m:dPr>
                            <m:e>
                              <m:r>
                                <a:rPr lang="en-IN" sz="1400" i="1">
                                  <a:solidFill>
                                    <a:schemeClr val="dk1"/>
                                  </a:solidFill>
                                  <a:effectLst/>
                                  <a:latin typeface="Cambria Math" panose="02040503050406030204" pitchFamily="18" charset="0"/>
                                  <a:ea typeface="+mn-ea"/>
                                  <a:cs typeface="+mn-cs"/>
                                </a:rPr>
                                <m:t>𝑡</m:t>
                              </m:r>
                              <m:r>
                                <a:rPr lang="en-IN" sz="1400" i="0">
                                  <a:solidFill>
                                    <a:schemeClr val="dk1"/>
                                  </a:solidFill>
                                  <a:effectLst/>
                                  <a:latin typeface="Cambria Math" panose="02040503050406030204" pitchFamily="18" charset="0"/>
                                  <a:ea typeface="+mn-ea"/>
                                  <a:cs typeface="+mn-cs"/>
                                </a:rPr>
                                <m:t>−2018</m:t>
                              </m:r>
                            </m:e>
                          </m:d>
                        </m:sup>
                      </m:sSup>
                    </m:den>
                  </m:f>
                </m:oMath>
              </a14:m>
              <a:r>
                <a:rPr lang="en-IN" sz="1400">
                  <a:solidFill>
                    <a:schemeClr val="dk1"/>
                  </a:solidFill>
                  <a:effectLst/>
                  <a:latin typeface="+mn-lt"/>
                  <a:ea typeface="+mn-ea"/>
                  <a:cs typeface="+mn-cs"/>
                </a:rPr>
                <a:t>.</a:t>
              </a:r>
            </a:p>
            <a:p>
              <a:r>
                <a:rPr lang="en-IN" sz="1400">
                  <a:solidFill>
                    <a:schemeClr val="dk1"/>
                  </a:solidFill>
                  <a:effectLst/>
                  <a:latin typeface="+mn-lt"/>
                  <a:ea typeface="+mn-ea"/>
                  <a:cs typeface="+mn-cs"/>
                </a:rPr>
                <a:t>Data sources include McDonald’s 10-K and 10-Q filings (SEC EDGAR), IBISWorld’s 2018 Global Fast Food Restaurants Industry Report (paywalled, </a:t>
              </a:r>
              <a:r>
                <a:rPr lang="en-IN" sz="1400">
                  <a:solidFill>
                    <a:schemeClr val="dk1"/>
                  </a:solidFill>
                  <a:effectLst/>
                  <a:latin typeface="+mn-lt"/>
                  <a:ea typeface="+mn-ea"/>
                  <a:cs typeface="+mn-cs"/>
                  <a:hlinkClick xmlns:r="http://schemas.openxmlformats.org/officeDocument/2006/relationships" r:id=""/>
                </a:rPr>
                <a:t>https://www.ibisworld.com/global/market-size/global-fast-food-restaurants/1480/</a:t>
              </a:r>
              <a:r>
                <a:rPr lang="en-IN" sz="1400">
                  <a:solidFill>
                    <a:schemeClr val="dk1"/>
                  </a:solidFill>
                  <a:effectLst/>
                  <a:latin typeface="+mn-lt"/>
                  <a:ea typeface="+mn-ea"/>
                  <a:cs typeface="+mn-cs"/>
                </a:rPr>
                <a:t>), and Transparency Market Research 2016 (paywalled, </a:t>
              </a:r>
              <a:r>
                <a:rPr lang="en-IN" sz="1400">
                  <a:solidFill>
                    <a:schemeClr val="dk1"/>
                  </a:solidFill>
                  <a:effectLst/>
                  <a:latin typeface="+mn-lt"/>
                  <a:ea typeface="+mn-ea"/>
                  <a:cs typeface="+mn-cs"/>
                  <a:hlinkClick xmlns:r="http://schemas.openxmlformats.org/officeDocument/2006/relationships" r:id=""/>
                </a:rPr>
                <a:t>https://www.transparencymarketresearch.com/global-fast-food-market.html</a:t>
              </a:r>
              <a:r>
                <a:rPr lang="en-IN" sz="1400">
                  <a:solidFill>
                    <a:schemeClr val="dk1"/>
                  </a:solidFill>
                  <a:effectLst/>
                  <a:latin typeface="+mn-lt"/>
                  <a:ea typeface="+mn-ea"/>
                  <a:cs typeface="+mn-cs"/>
                </a:rPr>
                <a:t>), though access to decade-old reports is limited due to paywall restrictions or updates.</a:t>
              </a:r>
            </a:p>
            <a:p>
              <a:endParaRPr lang="en-IN" sz="1100"/>
            </a:p>
          </xdr:txBody>
        </xdr:sp>
      </mc:Choice>
      <mc:Fallback xmlns="">
        <xdr:sp macro="" textlink="">
          <xdr:nvSpPr>
            <xdr:cNvPr id="6" name="TextBox 5">
              <a:extLst>
                <a:ext uri="{FF2B5EF4-FFF2-40B4-BE49-F238E27FC236}">
                  <a16:creationId xmlns:a16="http://schemas.microsoft.com/office/drawing/2014/main" id="{C9CC2500-801D-00F0-3B56-015C19442E08}"/>
                </a:ext>
              </a:extLst>
            </xdr:cNvPr>
            <xdr:cNvSpPr txBox="1"/>
          </xdr:nvSpPr>
          <xdr:spPr>
            <a:xfrm>
              <a:off x="0" y="14319250"/>
              <a:ext cx="9921875" cy="182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solidFill>
                    <a:schemeClr val="dk1"/>
                  </a:solidFill>
                  <a:effectLst/>
                  <a:latin typeface="+mn-lt"/>
                  <a:ea typeface="+mn-ea"/>
                  <a:cs typeface="+mn-cs"/>
                </a:rPr>
                <a:t>General Note</a:t>
              </a:r>
              <a:r>
                <a:rPr lang="en-IN" sz="1400">
                  <a:solidFill>
                    <a:schemeClr val="dk1"/>
                  </a:solidFill>
                  <a:effectLst/>
                  <a:latin typeface="+mn-lt"/>
                  <a:ea typeface="+mn-ea"/>
                  <a:cs typeface="+mn-cs"/>
                </a:rPr>
                <a:t>:</a:t>
              </a:r>
              <a:br>
                <a:rPr lang="en-IN" sz="1400">
                  <a:solidFill>
                    <a:schemeClr val="dk1"/>
                  </a:solidFill>
                  <a:effectLst/>
                  <a:latin typeface="+mn-lt"/>
                  <a:ea typeface="+mn-ea"/>
                  <a:cs typeface="+mn-cs"/>
                </a:rPr>
              </a:br>
              <a:r>
                <a:rPr lang="en-IN" sz="1400">
                  <a:solidFill>
                    <a:schemeClr val="dk1"/>
                  </a:solidFill>
                  <a:effectLst/>
                  <a:latin typeface="+mn-lt"/>
                  <a:ea typeface="+mn-ea"/>
                  <a:cs typeface="+mn-cs"/>
                </a:rPr>
                <a:t>All financial figures are presented in 2018 USD, adjusted using BLS CPI-U multipliers to account for inflation. The CPI multipliers for 2019–2023 (0.990, 0.980, 0.970, 0.960, 0.950) are derived from an assumed </a:t>
              </a:r>
              <a:r>
                <a:rPr lang="en-IN" sz="1400" b="1">
                  <a:solidFill>
                    <a:schemeClr val="dk1"/>
                  </a:solidFill>
                  <a:effectLst/>
                  <a:latin typeface="+mn-lt"/>
                  <a:ea typeface="+mn-ea"/>
                  <a:cs typeface="+mn-cs"/>
                </a:rPr>
                <a:t>1%</a:t>
              </a:r>
              <a:r>
                <a:rPr lang="en-IN" sz="1400">
                  <a:solidFill>
                    <a:schemeClr val="dk1"/>
                  </a:solidFill>
                  <a:effectLst/>
                  <a:latin typeface="+mn-lt"/>
                  <a:ea typeface="+mn-ea"/>
                  <a:cs typeface="+mn-cs"/>
                </a:rPr>
                <a:t> annual inflation rate, calculated as:  </a:t>
              </a:r>
              <a:r>
                <a:rPr lang="en-IN" sz="1400" i="0">
                  <a:solidFill>
                    <a:schemeClr val="dk1"/>
                  </a:solidFill>
                  <a:effectLst/>
                  <a:latin typeface="Cambria Math" panose="02040503050406030204" pitchFamily="18" charset="0"/>
                  <a:ea typeface="+mn-ea"/>
                  <a:cs typeface="+mn-cs"/>
                </a:rPr>
                <a:t>1/(1+〖0.01〗^((𝑡−2018) ) )</a:t>
              </a:r>
              <a:r>
                <a:rPr lang="en-IN" sz="1400">
                  <a:solidFill>
                    <a:schemeClr val="dk1"/>
                  </a:solidFill>
                  <a:effectLst/>
                  <a:latin typeface="+mn-lt"/>
                  <a:ea typeface="+mn-ea"/>
                  <a:cs typeface="+mn-cs"/>
                </a:rPr>
                <a:t>.</a:t>
              </a:r>
            </a:p>
            <a:p>
              <a:r>
                <a:rPr lang="en-IN" sz="1400">
                  <a:solidFill>
                    <a:schemeClr val="dk1"/>
                  </a:solidFill>
                  <a:effectLst/>
                  <a:latin typeface="+mn-lt"/>
                  <a:ea typeface="+mn-ea"/>
                  <a:cs typeface="+mn-cs"/>
                </a:rPr>
                <a:t>Data sources include McDonald’s 10-K and 10-Q filings (SEC EDGAR), IBISWorld’s 2018 Global Fast Food Restaurants Industry Report (paywalled, </a:t>
              </a:r>
              <a:r>
                <a:rPr lang="en-IN" sz="1400">
                  <a:solidFill>
                    <a:schemeClr val="dk1"/>
                  </a:solidFill>
                  <a:effectLst/>
                  <a:latin typeface="+mn-lt"/>
                  <a:ea typeface="+mn-ea"/>
                  <a:cs typeface="+mn-cs"/>
                  <a:hlinkClick xmlns:r="http://schemas.openxmlformats.org/officeDocument/2006/relationships" r:id=""/>
                </a:rPr>
                <a:t>https://www.ibisworld.com/global/market-size/global-fast-food-restaurants/1480/</a:t>
              </a:r>
              <a:r>
                <a:rPr lang="en-IN" sz="1400">
                  <a:solidFill>
                    <a:schemeClr val="dk1"/>
                  </a:solidFill>
                  <a:effectLst/>
                  <a:latin typeface="+mn-lt"/>
                  <a:ea typeface="+mn-ea"/>
                  <a:cs typeface="+mn-cs"/>
                </a:rPr>
                <a:t>), and Transparency Market Research 2016 (paywalled, </a:t>
              </a:r>
              <a:r>
                <a:rPr lang="en-IN" sz="1400">
                  <a:solidFill>
                    <a:schemeClr val="dk1"/>
                  </a:solidFill>
                  <a:effectLst/>
                  <a:latin typeface="+mn-lt"/>
                  <a:ea typeface="+mn-ea"/>
                  <a:cs typeface="+mn-cs"/>
                  <a:hlinkClick xmlns:r="http://schemas.openxmlformats.org/officeDocument/2006/relationships" r:id=""/>
                </a:rPr>
                <a:t>https://www.transparencymarketresearch.com/global-fast-food-market.html</a:t>
              </a:r>
              <a:r>
                <a:rPr lang="en-IN" sz="1400">
                  <a:solidFill>
                    <a:schemeClr val="dk1"/>
                  </a:solidFill>
                  <a:effectLst/>
                  <a:latin typeface="+mn-lt"/>
                  <a:ea typeface="+mn-ea"/>
                  <a:cs typeface="+mn-cs"/>
                </a:rPr>
                <a:t>), though access to decade-old reports is limited due to paywall restrictions or updates.</a:t>
              </a:r>
            </a:p>
            <a:p>
              <a:endParaRPr lang="en-IN" sz="11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17</xdr:row>
      <xdr:rowOff>1</xdr:rowOff>
    </xdr:from>
    <xdr:to>
      <xdr:col>7</xdr:col>
      <xdr:colOff>0</xdr:colOff>
      <xdr:row>35</xdr:row>
      <xdr:rowOff>0</xdr:rowOff>
    </xdr:to>
    <xdr:graphicFrame macro="">
      <xdr:nvGraphicFramePr>
        <xdr:cNvPr id="4" name="Chart 3">
          <a:extLst>
            <a:ext uri="{FF2B5EF4-FFF2-40B4-BE49-F238E27FC236}">
              <a16:creationId xmlns:a16="http://schemas.microsoft.com/office/drawing/2014/main" id="{5FED432D-96D4-949D-D168-CF68383C3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17</xdr:row>
      <xdr:rowOff>9072</xdr:rowOff>
    </xdr:from>
    <xdr:to>
      <xdr:col>16</xdr:col>
      <xdr:colOff>0</xdr:colOff>
      <xdr:row>35</xdr:row>
      <xdr:rowOff>0</xdr:rowOff>
    </xdr:to>
    <xdr:graphicFrame macro="">
      <xdr:nvGraphicFramePr>
        <xdr:cNvPr id="5" name="Chart 4">
          <a:extLst>
            <a:ext uri="{FF2B5EF4-FFF2-40B4-BE49-F238E27FC236}">
              <a16:creationId xmlns:a16="http://schemas.microsoft.com/office/drawing/2014/main" id="{54851E18-BB94-6AEC-F8E8-A54CF7FB4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22</xdr:col>
      <xdr:colOff>158750</xdr:colOff>
      <xdr:row>1</xdr:row>
      <xdr:rowOff>95250</xdr:rowOff>
    </xdr:from>
    <xdr:to>
      <xdr:col>38</xdr:col>
      <xdr:colOff>317500</xdr:colOff>
      <xdr:row>49</xdr:row>
      <xdr:rowOff>95250</xdr:rowOff>
    </xdr:to>
    <xdr:sp macro="" textlink="">
      <xdr:nvSpPr>
        <xdr:cNvPr id="2" name="TextBox 1">
          <a:extLst>
            <a:ext uri="{FF2B5EF4-FFF2-40B4-BE49-F238E27FC236}">
              <a16:creationId xmlns:a16="http://schemas.microsoft.com/office/drawing/2014/main" id="{DFA733A6-1421-244C-CEAD-7E629ADB9788}"/>
            </a:ext>
          </a:extLst>
        </xdr:cNvPr>
        <xdr:cNvSpPr txBox="1"/>
      </xdr:nvSpPr>
      <xdr:spPr>
        <a:xfrm>
          <a:off x="12985750" y="285750"/>
          <a:ext cx="9810750" cy="685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McDonald's Annual</a:t>
          </a:r>
          <a:r>
            <a:rPr lang="en-US" sz="1100" baseline="0"/>
            <a:t> data (10-K):</a:t>
          </a:r>
        </a:p>
        <a:p>
          <a:r>
            <a:rPr lang="en-US" sz="1100" baseline="0"/>
            <a:t>  2014: https://www.sec.gov/Archives/edgar/data/0000063908/000006390815000016/mcd-12312014x10k.htm</a:t>
          </a:r>
        </a:p>
        <a:p>
          <a:r>
            <a:rPr lang="en-US" sz="1100" baseline="0"/>
            <a:t>  2015: https://www.sec.gov/Archives/edgar/data/0000063908/000006390816000103/mcd-12312015x10k.htm</a:t>
          </a:r>
        </a:p>
        <a:p>
          <a:r>
            <a:rPr lang="en-US" sz="1100" baseline="0"/>
            <a:t>  2016: https://www.sec.gov/Archives/edgar/data/0000063908/000006390817000017/mcd-12312016x10k.htm</a:t>
          </a:r>
        </a:p>
        <a:p>
          <a:r>
            <a:rPr lang="en-US" sz="1100" baseline="0"/>
            <a:t>  2017: https://www.sec.gov/ix?doc=/Archives/edgar/data/0000063908/000006390818000010/mcd-12312017x10k.htm</a:t>
          </a:r>
        </a:p>
        <a:p>
          <a:r>
            <a:rPr lang="en-US" sz="1100" baseline="0"/>
            <a:t>  2018: https://www.sec.gov/ix?doc=/Archives/edgar/data/0000063908/000006390819000010/mcd-12312018x10k.htm</a:t>
          </a:r>
        </a:p>
        <a:p>
          <a:endParaRPr lang="en-US" sz="1100" baseline="0"/>
        </a:p>
        <a:p>
          <a:r>
            <a:rPr lang="en-US" sz="1100" baseline="0"/>
            <a:t>McDonald's Quarterly data (10-Q):</a:t>
          </a:r>
        </a:p>
        <a:p>
          <a:r>
            <a:rPr lang="en-US" sz="1100" baseline="0"/>
            <a:t>  2014 (Q1): https://www.sec.gov/Archives/edgar/data/0000063908/000006390814000032/mcd-3312014x10q.htm</a:t>
          </a:r>
        </a:p>
        <a:p>
          <a:r>
            <a:rPr lang="en-US" sz="1100" baseline="0"/>
            <a:t>            (Q2): https://www.sec.gov/Archives/edgar/data/0000063908/000006390814000059/mcd-6302014x10q.htm</a:t>
          </a:r>
        </a:p>
        <a:p>
          <a:r>
            <a:rPr lang="en-US" sz="1100" baseline="0"/>
            <a:t>            (Q3): https://www.sec.gov/Archives/edgar/data/0000063908/000006390814000077/mcd-9302014x10q.htm</a:t>
          </a:r>
        </a:p>
        <a:p>
          <a:endParaRPr lang="en-US" sz="1100" baseline="0"/>
        </a:p>
        <a:p>
          <a:r>
            <a:rPr lang="en-US" sz="1100" baseline="0"/>
            <a:t>  2015 (Q1): https://www.sec.gov/Archives/edgar/data/0000063908/000006390815000039/mcd-3312015x10q.htm</a:t>
          </a:r>
        </a:p>
        <a:p>
          <a:r>
            <a:rPr lang="en-US" sz="1100" baseline="0"/>
            <a:t>            (Q2): https://www.sec.gov/Archives/edgar/data/0000063908/000006390815000065/mcd-6302015x10q.htm</a:t>
          </a:r>
        </a:p>
        <a:p>
          <a:r>
            <a:rPr lang="en-US" sz="1100" baseline="0"/>
            <a:t>            (Q3): https://www.sec.gov/Archives/edgar/data/0000063908/000006390815000081/mcd-9302015x10q.htm</a:t>
          </a:r>
        </a:p>
        <a:p>
          <a:endParaRPr lang="en-US" sz="1100" baseline="0"/>
        </a:p>
        <a:p>
          <a:r>
            <a:rPr lang="en-US" sz="1100" baseline="0"/>
            <a:t>  2016 (Q1): https://www.sec.gov/Archives/edgar/data/0000063908/000006390816000121/mcd-3312016x10q.htm</a:t>
          </a:r>
        </a:p>
        <a:p>
          <a:r>
            <a:rPr lang="en-US" sz="1100" baseline="0"/>
            <a:t>            (Q2): https://www.sec.gov/Archives/edgar/data/0000063908/000006390816000142/mcd-6302016x10q.htm</a:t>
          </a:r>
        </a:p>
        <a:p>
          <a:r>
            <a:rPr lang="en-US" sz="1100" baseline="0"/>
            <a:t>            (Q3): https://www.sec.gov/Archives/edgar/data/0000063908/000006390816000161/mcd-9302016x10q.htm</a:t>
          </a:r>
        </a:p>
        <a:p>
          <a:endParaRPr lang="en-US" sz="1100" baseline="0"/>
        </a:p>
        <a:p>
          <a:r>
            <a:rPr lang="en-US" sz="1100" baseline="0"/>
            <a:t>  2017 (Q1): https://www.sec.gov/Archives/edgar/data/0000063908/000006390817000025/mcd-3312017x10q.htm</a:t>
          </a:r>
        </a:p>
        <a:p>
          <a:r>
            <a:rPr lang="en-US" sz="1100" baseline="0"/>
            <a:t>            (Q2): https://www.sec.gov/ix?doc=/Archives/edgar/data/0000063908/000006390817000039/mcd-6302017x10q.htm</a:t>
          </a:r>
        </a:p>
        <a:p>
          <a:r>
            <a:rPr lang="en-US" sz="1100" baseline="0"/>
            <a:t>            (Q3): https://www.sec.gov/ix?doc=/Archives/edgar/data/0000063908/000006390817000053/mcd-9302017x10q.htm</a:t>
          </a:r>
        </a:p>
        <a:p>
          <a:endParaRPr lang="en-US" sz="1100" baseline="0"/>
        </a:p>
        <a:p>
          <a:r>
            <a:rPr lang="en-US" sz="1100" baseline="0"/>
            <a:t>2018 (Q1): https://www.sec.gov/ix?doc=/Archives/edgar/data/0000063908/000006390818000025/mcd-3312018x10q.htm</a:t>
          </a:r>
        </a:p>
        <a:p>
          <a:r>
            <a:rPr lang="en-US" sz="1100" baseline="0"/>
            <a:t>          (Q2): https://www.sec.gov/ix?doc=/Archives/edgar/data/0000063908/000006390818000049/mcd-6302018x10q.htm</a:t>
          </a:r>
        </a:p>
        <a:p>
          <a:r>
            <a:rPr lang="en-US" sz="1100" baseline="0"/>
            <a:t>          (Q3): https://www.sec.gov/ix?doc=/Archives/edgar/data/0000063908/000006390818000064/mcd-9302018x10q.htm</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0</xdr:rowOff>
    </xdr:from>
    <xdr:to>
      <xdr:col>16</xdr:col>
      <xdr:colOff>0</xdr:colOff>
      <xdr:row>17</xdr:row>
      <xdr:rowOff>0</xdr:rowOff>
    </xdr:to>
    <xdr:sp macro="" textlink="">
      <xdr:nvSpPr>
        <xdr:cNvPr id="2" name="TextBox 1">
          <a:extLst>
            <a:ext uri="{FF2B5EF4-FFF2-40B4-BE49-F238E27FC236}">
              <a16:creationId xmlns:a16="http://schemas.microsoft.com/office/drawing/2014/main" id="{28D96CA8-D7AA-95BF-23B3-53443A248E06}"/>
            </a:ext>
          </a:extLst>
        </xdr:cNvPr>
        <xdr:cNvSpPr txBox="1"/>
      </xdr:nvSpPr>
      <xdr:spPr>
        <a:xfrm>
          <a:off x="0" y="628650"/>
          <a:ext cx="9899650" cy="2578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Developed as a detailed financial forecasting model, this McDonald’s project projects performance from 2019 to 2023, utilizing 2014-2018 data extracted from 10-K and 10-Q filings, which is organized across multiple Excel worksheets. The model features two scenarios: a </a:t>
          </a:r>
          <a:r>
            <a:rPr lang="en-US" sz="1400" b="1">
              <a:solidFill>
                <a:schemeClr val="dk1"/>
              </a:solidFill>
              <a:effectLst/>
              <a:latin typeface="+mn-lt"/>
              <a:ea typeface="+mn-ea"/>
              <a:cs typeface="+mn-cs"/>
            </a:rPr>
            <a:t>Baseline Growth </a:t>
          </a:r>
          <a:r>
            <a:rPr lang="en-US" sz="1400">
              <a:solidFill>
                <a:schemeClr val="dk1"/>
              </a:solidFill>
              <a:effectLst/>
              <a:latin typeface="+mn-lt"/>
              <a:ea typeface="+mn-ea"/>
              <a:cs typeface="+mn-cs"/>
            </a:rPr>
            <a:t>and a </a:t>
          </a:r>
          <a:r>
            <a:rPr lang="en-US" sz="1400" b="1">
              <a:solidFill>
                <a:schemeClr val="dk1"/>
              </a:solidFill>
              <a:effectLst/>
              <a:latin typeface="+mn-lt"/>
              <a:ea typeface="+mn-ea"/>
              <a:cs typeface="+mn-cs"/>
            </a:rPr>
            <a:t>Pandemic Disruption </a:t>
          </a:r>
          <a:r>
            <a:rPr lang="en-US" sz="1400" b="0">
              <a:solidFill>
                <a:schemeClr val="dk1"/>
              </a:solidFill>
              <a:effectLst/>
              <a:latin typeface="+mn-lt"/>
              <a:ea typeface="+mn-ea"/>
              <a:cs typeface="+mn-cs"/>
            </a:rPr>
            <a:t>(which</a:t>
          </a:r>
          <a:r>
            <a:rPr lang="en-US" sz="1400" b="0" baseline="0">
              <a:solidFill>
                <a:schemeClr val="dk1"/>
              </a:solidFill>
              <a:effectLst/>
              <a:latin typeface="+mn-lt"/>
              <a:ea typeface="+mn-ea"/>
              <a:cs typeface="+mn-cs"/>
            </a:rPr>
            <a:t> also includes </a:t>
          </a:r>
          <a:r>
            <a:rPr lang="en-US" sz="1400" b="1" baseline="0">
              <a:solidFill>
                <a:schemeClr val="dk1"/>
              </a:solidFill>
              <a:effectLst/>
              <a:latin typeface="+mn-lt"/>
              <a:ea typeface="+mn-ea"/>
              <a:cs typeface="+mn-cs"/>
            </a:rPr>
            <a:t>Hindsight scenario</a:t>
          </a:r>
          <a:r>
            <a:rPr lang="en-US" sz="1400" b="0" baseline="0">
              <a:solidFill>
                <a:schemeClr val="dk1"/>
              </a:solidFill>
              <a:effectLst/>
              <a:latin typeface="+mn-lt"/>
              <a:ea typeface="+mn-ea"/>
              <a:cs typeface="+mn-cs"/>
            </a:rPr>
            <a:t>)</a:t>
          </a:r>
          <a:r>
            <a:rPr lang="en-US" sz="1400">
              <a:solidFill>
                <a:schemeClr val="dk1"/>
              </a:solidFill>
              <a:effectLst/>
              <a:latin typeface="+mn-lt"/>
              <a:ea typeface="+mn-ea"/>
              <a:cs typeface="+mn-cs"/>
            </a:rPr>
            <a:t>, alongside assumptions drawn from historical crisis performance (e.g., SARS, 2008-2009). Despite challenges with online resource access due to paywalls and partial data, effective utilization of publicly available industry trends facilitated market growth estimates (e.g., </a:t>
          </a:r>
          <a:r>
            <a:rPr lang="en-US" sz="1400" b="1">
              <a:solidFill>
                <a:schemeClr val="dk1"/>
              </a:solidFill>
              <a:effectLst/>
              <a:latin typeface="+mn-lt"/>
              <a:ea typeface="+mn-ea"/>
              <a:cs typeface="+mn-cs"/>
            </a:rPr>
            <a:t>4% </a:t>
          </a:r>
          <a:r>
            <a:rPr lang="en-US" sz="1400">
              <a:solidFill>
                <a:schemeClr val="dk1"/>
              </a:solidFill>
              <a:effectLst/>
              <a:latin typeface="+mn-lt"/>
              <a:ea typeface="+mn-ea"/>
              <a:cs typeface="+mn-cs"/>
            </a:rPr>
            <a:t>CAGR).</a:t>
          </a:r>
          <a:r>
            <a:rPr lang="en-US" sz="1400" baseline="0">
              <a:solidFill>
                <a:schemeClr val="dk1"/>
              </a:solidFill>
              <a:effectLst/>
              <a:latin typeface="+mn-lt"/>
              <a:ea typeface="+mn-ea"/>
              <a:cs typeface="+mn-cs"/>
            </a:rPr>
            <a:t> C</a:t>
          </a:r>
          <a:r>
            <a:rPr lang="en-US" sz="1400">
              <a:solidFill>
                <a:schemeClr val="dk1"/>
              </a:solidFill>
              <a:effectLst/>
              <a:latin typeface="+mn-lt"/>
              <a:ea typeface="+mn-ea"/>
              <a:cs typeface="+mn-cs"/>
            </a:rPr>
            <a:t>ritical business acumen informs realistic projections through analysis of strategies and market dynamics from financial literature. This project delivers actionable insights into resilience under varying economic conditions, serving as a key resume highlight.</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Moving forward,</a:t>
          </a:r>
          <a:r>
            <a:rPr lang="en-US" sz="1400" baseline="0">
              <a:solidFill>
                <a:schemeClr val="dk1"/>
              </a:solidFill>
              <a:effectLst/>
              <a:latin typeface="+mn-lt"/>
              <a:ea typeface="+mn-ea"/>
              <a:cs typeface="+mn-cs"/>
            </a:rPr>
            <a:t> next part </a:t>
          </a:r>
          <a:r>
            <a:rPr lang="en-US" sz="1400">
              <a:solidFill>
                <a:schemeClr val="dk1"/>
              </a:solidFill>
              <a:effectLst/>
              <a:latin typeface="+mn-lt"/>
              <a:ea typeface="+mn-ea"/>
              <a:cs typeface="+mn-cs"/>
            </a:rPr>
            <a:t>of this project will extend the analysis by comparing the 2019-2023 projections with actual financial data from McDonald’s 10-K reports and global fast-food market sizes. This comparison aims to evaluate the accuracy of the initial assumptions, examine how well the scenarios captured real-world impacts, completing the learning cycle of this forecast exercise.</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xdr:colOff>
      <xdr:row>5</xdr:row>
      <xdr:rowOff>0</xdr:rowOff>
    </xdr:from>
    <xdr:to>
      <xdr:col>9</xdr:col>
      <xdr:colOff>1</xdr:colOff>
      <xdr:row>13</xdr:row>
      <xdr:rowOff>1</xdr:rowOff>
    </xdr:to>
    <xdr:sp macro="" textlink="">
      <xdr:nvSpPr>
        <xdr:cNvPr id="2" name="TextBox 1">
          <a:extLst>
            <a:ext uri="{FF2B5EF4-FFF2-40B4-BE49-F238E27FC236}">
              <a16:creationId xmlns:a16="http://schemas.microsoft.com/office/drawing/2014/main" id="{53A8AD73-7F94-BDFA-E2B5-08CF9C83A697}"/>
            </a:ext>
          </a:extLst>
        </xdr:cNvPr>
        <xdr:cNvSpPr txBox="1"/>
      </xdr:nvSpPr>
      <xdr:spPr>
        <a:xfrm>
          <a:off x="1" y="807357"/>
          <a:ext cx="9552214" cy="1451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a:solidFill>
                <a:schemeClr val="dk1"/>
              </a:solidFill>
              <a:effectLst/>
              <a:latin typeface="+mn-lt"/>
              <a:ea typeface="+mn-ea"/>
              <a:cs typeface="+mn-cs"/>
            </a:rPr>
            <a:t>All monetary values—historical data (2014-2018), forecasted figures (2019-2023), and actual market size and revenue data (2019-2023) from sources—have been adjusted to 2025 USD using CPI multipliers for precision in the error analysis. This aligns the project with current purchasing power as of March 2025, ensuring a consistent basis for comparing projections</a:t>
          </a:r>
          <a:r>
            <a:rPr lang="en-US" sz="1400" baseline="0">
              <a:solidFill>
                <a:schemeClr val="dk1"/>
              </a:solidFill>
              <a:effectLst/>
              <a:latin typeface="+mn-lt"/>
              <a:ea typeface="+mn-ea"/>
              <a:cs typeface="+mn-cs"/>
            </a:rPr>
            <a:t> </a:t>
          </a:r>
          <a:r>
            <a:rPr lang="en-US" sz="1400">
              <a:solidFill>
                <a:schemeClr val="dk1"/>
              </a:solidFill>
              <a:effectLst/>
              <a:latin typeface="+mn-lt"/>
              <a:ea typeface="+mn-ea"/>
              <a:cs typeface="+mn-cs"/>
            </a:rPr>
            <a:t>against actual outcomes. The adjustments are documented in the “Data Reference” sheet, accessible via the hyperlink below, allowing for transparency while keeping the analysis focused on accuracy evaluation.</a:t>
          </a:r>
        </a:p>
        <a:p>
          <a:pPr rtl="0"/>
          <a:endParaRPr lang="en-US" sz="1400">
            <a:solidFill>
              <a:schemeClr val="dk1"/>
            </a:solidFill>
            <a:effectLst/>
            <a:latin typeface="+mn-lt"/>
            <a:ea typeface="+mn-ea"/>
            <a:cs typeface="+mn-cs"/>
          </a:endParaRPr>
        </a:p>
        <a:p>
          <a:pPr rtl="0"/>
          <a:endParaRPr lang="en-US" sz="1400">
            <a:solidFill>
              <a:schemeClr val="dk1"/>
            </a:solidFill>
            <a:effectLst/>
            <a:latin typeface="+mn-lt"/>
            <a:ea typeface="+mn-ea"/>
            <a:cs typeface="+mn-cs"/>
          </a:endParaRPr>
        </a:p>
        <a:p>
          <a:endParaRPr lang="en-US" sz="1100"/>
        </a:p>
      </xdr:txBody>
    </xdr:sp>
    <xdr:clientData/>
  </xdr:twoCellAnchor>
  <xdr:twoCellAnchor>
    <xdr:from>
      <xdr:col>0</xdr:col>
      <xdr:colOff>0</xdr:colOff>
      <xdr:row>27</xdr:row>
      <xdr:rowOff>172356</xdr:rowOff>
    </xdr:from>
    <xdr:to>
      <xdr:col>9</xdr:col>
      <xdr:colOff>0</xdr:colOff>
      <xdr:row>50</xdr:row>
      <xdr:rowOff>0</xdr:rowOff>
    </xdr:to>
    <xdr:graphicFrame macro="">
      <xdr:nvGraphicFramePr>
        <xdr:cNvPr id="5" name="Chart 4">
          <a:extLst>
            <a:ext uri="{FF2B5EF4-FFF2-40B4-BE49-F238E27FC236}">
              <a16:creationId xmlns:a16="http://schemas.microsoft.com/office/drawing/2014/main" id="{37921D48-9140-714C-4471-1D02034C3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62</xdr:row>
      <xdr:rowOff>0</xdr:rowOff>
    </xdr:from>
    <xdr:to>
      <xdr:col>9</xdr:col>
      <xdr:colOff>0</xdr:colOff>
      <xdr:row>79</xdr:row>
      <xdr:rowOff>0</xdr:rowOff>
    </xdr:to>
    <xdr:sp macro="" textlink="">
      <xdr:nvSpPr>
        <xdr:cNvPr id="40" name="TextBox 39">
          <a:extLst>
            <a:ext uri="{FF2B5EF4-FFF2-40B4-BE49-F238E27FC236}">
              <a16:creationId xmlns:a16="http://schemas.microsoft.com/office/drawing/2014/main" id="{3C3DEC30-18CC-E53A-653B-7211743BA90F}"/>
            </a:ext>
          </a:extLst>
        </xdr:cNvPr>
        <xdr:cNvSpPr txBox="1"/>
      </xdr:nvSpPr>
      <xdr:spPr>
        <a:xfrm>
          <a:off x="0" y="11715750"/>
          <a:ext cx="9544050" cy="313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Error</a:t>
          </a:r>
          <a:r>
            <a:rPr lang="en-US" sz="1400" b="1" baseline="0">
              <a:solidFill>
                <a:schemeClr val="dk1"/>
              </a:solidFill>
              <a:effectLst/>
              <a:latin typeface="+mn-lt"/>
              <a:ea typeface="+mn-ea"/>
              <a:cs typeface="+mn-cs"/>
            </a:rPr>
            <a:t> Analysis</a:t>
          </a:r>
          <a:r>
            <a:rPr lang="en-US" sz="1400" b="1">
              <a:solidFill>
                <a:schemeClr val="dk1"/>
              </a:solidFill>
              <a:effectLst/>
              <a:latin typeface="+mn-lt"/>
              <a:ea typeface="+mn-ea"/>
              <a:cs typeface="+mn-cs"/>
            </a:rPr>
            <a:t> </a:t>
          </a:r>
          <a:r>
            <a:rPr lang="en-US" sz="1400">
              <a:solidFill>
                <a:schemeClr val="dk1"/>
              </a:solidFill>
              <a:effectLst/>
              <a:latin typeface="+mn-lt"/>
              <a:ea typeface="+mn-ea"/>
              <a:cs typeface="+mn-cs"/>
            </a:rPr>
            <a:t>evaluates the percentage errors between the actual and projected values for global fast-food market sizes and revenues under the Pandemic Disruption and Hindsight scenarios</a:t>
          </a:r>
          <a:r>
            <a:rPr lang="en-US" sz="1400" baseline="0">
              <a:solidFill>
                <a:schemeClr val="dk1"/>
              </a:solidFill>
              <a:effectLst/>
              <a:latin typeface="+mn-lt"/>
              <a:ea typeface="+mn-ea"/>
              <a:cs typeface="+mn-cs"/>
            </a:rPr>
            <a:t> (</a:t>
          </a:r>
          <a:r>
            <a:rPr lang="en-US" sz="1400">
              <a:solidFill>
                <a:schemeClr val="dk1"/>
              </a:solidFill>
              <a:effectLst/>
              <a:latin typeface="+mn-lt"/>
              <a:ea typeface="+mn-ea"/>
              <a:cs typeface="+mn-cs"/>
            </a:rPr>
            <a:t>with all figures adjusted to 2025 USD for consistency). The Pandemic Disruption scenario, modeled on revenue declines from the 2003 SARS outbreak (</a:t>
          </a:r>
          <a:r>
            <a:rPr lang="en-US" sz="1400" b="1">
              <a:solidFill>
                <a:schemeClr val="dk1"/>
              </a:solidFill>
              <a:effectLst/>
              <a:latin typeface="+mn-lt"/>
              <a:ea typeface="+mn-ea"/>
              <a:cs typeface="+mn-cs"/>
            </a:rPr>
            <a:t>-10% </a:t>
          </a:r>
          <a:r>
            <a:rPr lang="en-US" sz="1400">
              <a:solidFill>
                <a:schemeClr val="dk1"/>
              </a:solidFill>
              <a:effectLst/>
              <a:latin typeface="+mn-lt"/>
              <a:ea typeface="+mn-ea"/>
              <a:cs typeface="+mn-cs"/>
            </a:rPr>
            <a:t>in 2020, </a:t>
          </a:r>
          <a:r>
            <a:rPr lang="en-US" sz="1400" b="1">
              <a:solidFill>
                <a:schemeClr val="dk1"/>
              </a:solidFill>
              <a:effectLst/>
              <a:latin typeface="+mn-lt"/>
              <a:ea typeface="+mn-ea"/>
              <a:cs typeface="+mn-cs"/>
            </a:rPr>
            <a:t>-14% </a:t>
          </a:r>
          <a:r>
            <a:rPr lang="en-US" sz="1400">
              <a:solidFill>
                <a:schemeClr val="dk1"/>
              </a:solidFill>
              <a:effectLst/>
              <a:latin typeface="+mn-lt"/>
              <a:ea typeface="+mn-ea"/>
              <a:cs typeface="+mn-cs"/>
            </a:rPr>
            <a:t>in 2021) and the 2008 financial crisis, and the Hindsight scenario, assuming a </a:t>
          </a:r>
          <a:r>
            <a:rPr lang="en-US" sz="1400" b="1">
              <a:solidFill>
                <a:schemeClr val="dk1"/>
              </a:solidFill>
              <a:effectLst/>
              <a:latin typeface="+mn-lt"/>
              <a:ea typeface="+mn-ea"/>
              <a:cs typeface="+mn-cs"/>
            </a:rPr>
            <a:t>2% </a:t>
          </a:r>
          <a:r>
            <a:rPr lang="en-US" sz="1400">
              <a:solidFill>
                <a:schemeClr val="dk1"/>
              </a:solidFill>
              <a:effectLst/>
              <a:latin typeface="+mn-lt"/>
              <a:ea typeface="+mn-ea"/>
              <a:cs typeface="+mn-cs"/>
            </a:rPr>
            <a:t>CAGR with annual fluctuations, share identical revenue projections across 2019-2023, resulting in an average error of -0.41% (indicating a slight underestimate). This similarity arises because both scenarios were designed to explore company-specific vulnerabilities during a severe disruption, with the Hindsight scenario’s fluctuations built around the same SARS/2008 revenue drops, reflecting historical variability rather than introducing a new revenue trend. For global market sizes, the Pandemic Disruption assumes a </a:t>
          </a:r>
          <a:r>
            <a:rPr lang="en-US" sz="1400" b="1">
              <a:solidFill>
                <a:schemeClr val="dk1"/>
              </a:solidFill>
              <a:effectLst/>
              <a:latin typeface="+mn-lt"/>
              <a:ea typeface="+mn-ea"/>
              <a:cs typeface="+mn-cs"/>
            </a:rPr>
            <a:t>1.5% </a:t>
          </a:r>
          <a:r>
            <a:rPr lang="en-US" sz="1400">
              <a:solidFill>
                <a:schemeClr val="dk1"/>
              </a:solidFill>
              <a:effectLst/>
              <a:latin typeface="+mn-lt"/>
              <a:ea typeface="+mn-ea"/>
              <a:cs typeface="+mn-cs"/>
            </a:rPr>
            <a:t>CAGR with an average error of </a:t>
          </a:r>
          <a:r>
            <a:rPr lang="en-US" sz="1400" b="1">
              <a:solidFill>
                <a:schemeClr val="dk1"/>
              </a:solidFill>
              <a:effectLst/>
              <a:latin typeface="+mn-lt"/>
              <a:ea typeface="+mn-ea"/>
              <a:cs typeface="+mn-cs"/>
            </a:rPr>
            <a:t>5.81%</a:t>
          </a:r>
          <a:r>
            <a:rPr lang="en-US" sz="1400">
              <a:solidFill>
                <a:schemeClr val="dk1"/>
              </a:solidFill>
              <a:effectLst/>
              <a:latin typeface="+mn-lt"/>
              <a:ea typeface="+mn-ea"/>
              <a:cs typeface="+mn-cs"/>
            </a:rPr>
            <a:t>, while the Hindsight scenario uses a </a:t>
          </a:r>
          <a:r>
            <a:rPr lang="en-US" sz="1400" b="1">
              <a:solidFill>
                <a:schemeClr val="dk1"/>
              </a:solidFill>
              <a:effectLst/>
              <a:latin typeface="+mn-lt"/>
              <a:ea typeface="+mn-ea"/>
              <a:cs typeface="+mn-cs"/>
            </a:rPr>
            <a:t>2% </a:t>
          </a:r>
          <a:r>
            <a:rPr lang="en-US" sz="1400">
              <a:solidFill>
                <a:schemeClr val="dk1"/>
              </a:solidFill>
              <a:effectLst/>
              <a:latin typeface="+mn-lt"/>
              <a:ea typeface="+mn-ea"/>
              <a:cs typeface="+mn-cs"/>
            </a:rPr>
            <a:t>CAGR with an average error of </a:t>
          </a:r>
          <a:r>
            <a:rPr lang="en-US" sz="1400" b="1">
              <a:solidFill>
                <a:schemeClr val="dk1"/>
              </a:solidFill>
              <a:effectLst/>
              <a:latin typeface="+mn-lt"/>
              <a:ea typeface="+mn-ea"/>
              <a:cs typeface="+mn-cs"/>
            </a:rPr>
            <a:t>7.41%</a:t>
          </a:r>
          <a:r>
            <a:rPr lang="en-US" sz="1400">
              <a:solidFill>
                <a:schemeClr val="dk1"/>
              </a:solidFill>
              <a:effectLst/>
              <a:latin typeface="+mn-lt"/>
              <a:ea typeface="+mn-ea"/>
              <a:cs typeface="+mn-cs"/>
            </a:rPr>
            <a:t>, reflecting the market’s actual resilience that outpaced both assumptions. The Baseline scenario was excluded from this error analysis, as it assumes a steady </a:t>
          </a:r>
          <a:r>
            <a:rPr lang="en-US" sz="1400" b="1">
              <a:solidFill>
                <a:schemeClr val="dk1"/>
              </a:solidFill>
              <a:effectLst/>
              <a:latin typeface="+mn-lt"/>
              <a:ea typeface="+mn-ea"/>
              <a:cs typeface="+mn-cs"/>
            </a:rPr>
            <a:t>4% </a:t>
          </a:r>
          <a:r>
            <a:rPr lang="en-US" sz="1400">
              <a:solidFill>
                <a:schemeClr val="dk1"/>
              </a:solidFill>
              <a:effectLst/>
              <a:latin typeface="+mn-lt"/>
              <a:ea typeface="+mn-ea"/>
              <a:cs typeface="+mn-cs"/>
            </a:rPr>
            <a:t>CAGR without accounting for a significant disruption like the COVID-19 pandemic, which did not align with the conditions observed in 2019-2023, making it less relevant for validation. </a:t>
          </a:r>
          <a:r>
            <a:rPr lang="en-US" sz="1400" u="sng">
              <a:solidFill>
                <a:schemeClr val="dk1"/>
              </a:solidFill>
              <a:effectLst/>
              <a:latin typeface="+mn-lt"/>
              <a:ea typeface="+mn-ea"/>
              <a:cs typeface="+mn-cs"/>
            </a:rPr>
            <a:t>These findings suggest the models captured the initial disruption well but underestimated the recovery</a:t>
          </a:r>
          <a:r>
            <a:rPr lang="en-US" sz="1400">
              <a:solidFill>
                <a:schemeClr val="dk1"/>
              </a:solidFill>
              <a:effectLst/>
              <a:latin typeface="+mn-lt"/>
              <a:ea typeface="+mn-ea"/>
              <a:cs typeface="+mn-cs"/>
            </a:rPr>
            <a:t>.</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3</xdr:row>
      <xdr:rowOff>0</xdr:rowOff>
    </xdr:from>
    <xdr:to>
      <xdr:col>16</xdr:col>
      <xdr:colOff>0</xdr:colOff>
      <xdr:row>14</xdr:row>
      <xdr:rowOff>0</xdr:rowOff>
    </xdr:to>
    <xdr:sp macro="" textlink="">
      <xdr:nvSpPr>
        <xdr:cNvPr id="4" name="TextBox 3">
          <a:extLst>
            <a:ext uri="{FF2B5EF4-FFF2-40B4-BE49-F238E27FC236}">
              <a16:creationId xmlns:a16="http://schemas.microsoft.com/office/drawing/2014/main" id="{A8611652-58AD-53FE-0AC5-5F305566B4B3}"/>
            </a:ext>
          </a:extLst>
        </xdr:cNvPr>
        <xdr:cNvSpPr txBox="1"/>
      </xdr:nvSpPr>
      <xdr:spPr>
        <a:xfrm>
          <a:off x="0" y="628650"/>
          <a:ext cx="9753600" cy="202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The McDonald’s Financial Forecast Project, spanning 2014-2023, analyzed historical financial data and projected revenues under three scenarios—Baseline, Pandemic Disruption, and Hindsight—adjusted to 2025 USD for relevance. Part 2 (Outcome Analysis)  validated these projections against actual 2019-2023 data, revealing average errors of 5.81% for the Pandemic Disruption global market, 7.41% for the Hindsight global market, and -0.41% for revenues in both scenarios, indicating a slight underestimate likely due to McDonald’s unmodeled resilience through delivery trends. This project highlights the importance of dynamic modeling in forecasting, paving the way for future improvements through advanced techniques.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a:p>
        <a:p>
          <a:pPr marL="0" marR="0" lvl="0" indent="0" defTabSz="914400" rtl="0" eaLnBrk="1" fontAlgn="auto" latinLnBrk="0" hangingPunct="1">
            <a:lnSpc>
              <a:spcPct val="100000"/>
            </a:lnSpc>
            <a:spcBef>
              <a:spcPts val="0"/>
            </a:spcBef>
            <a:spcAft>
              <a:spcPts val="0"/>
            </a:spcAft>
            <a:buClrTx/>
            <a:buSzTx/>
            <a:buFontTx/>
            <a:buNone/>
            <a:tabLst/>
            <a:defRPr/>
          </a:pPr>
          <a:endParaRPr lang="en-US" sz="1100"/>
        </a:p>
        <a:p>
          <a:pPr marL="0" marR="0" lvl="0" indent="0" defTabSz="914400" rtl="0" eaLnBrk="1" fontAlgn="auto" latinLnBrk="0" hangingPunct="1">
            <a:lnSpc>
              <a:spcPct val="100000"/>
            </a:lnSpc>
            <a:spcBef>
              <a:spcPts val="0"/>
            </a:spcBef>
            <a:spcAft>
              <a:spcPts val="0"/>
            </a:spcAft>
            <a:buClrTx/>
            <a:buSzTx/>
            <a:buFontTx/>
            <a:buNone/>
            <a:tabLst/>
            <a:defRPr/>
          </a:pPr>
          <a:r>
            <a:rPr lang="en-US" sz="1100"/>
            <a:t>(Devopled as a self-taught exercise).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bls.gov/regions/mid-atlantic/data/consumerpriceindexhistorical_us_table.ht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2.bin"/><Relationship Id="rId1" Type="http://schemas.openxmlformats.org/officeDocument/2006/relationships/hyperlink" Target="https://stockanalysis.com/stocks/mcd/market-cap/"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hyperlink" Target="https://www.ibisworld.com/global/market-size/global-fast-food-restaurants/1480/" TargetMode="External"/><Relationship Id="rId1" Type="http://schemas.openxmlformats.org/officeDocument/2006/relationships/hyperlink" Target="https://www.ibisworld.com/global/market-size/global-fast-food-restaurants/1480/"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sec.gov/Archives/edgar/data/0000063908/000006390814000077/mcd-9302014x10q.htm" TargetMode="External"/><Relationship Id="rId13" Type="http://schemas.openxmlformats.org/officeDocument/2006/relationships/hyperlink" Target="https://www.sec.gov/Archives/edgar/data/0000063908/000006390816000142/mcd-6302016x10q.htm" TargetMode="External"/><Relationship Id="rId18" Type="http://schemas.openxmlformats.org/officeDocument/2006/relationships/hyperlink" Target="https://www.sec.gov/ix?doc=/Archives/edgar/data/0000063908/000006390818000025/mcd-3312018x10q.htm" TargetMode="External"/><Relationship Id="rId26" Type="http://schemas.openxmlformats.org/officeDocument/2006/relationships/drawing" Target="../drawings/drawing8.xml"/><Relationship Id="rId3" Type="http://schemas.openxmlformats.org/officeDocument/2006/relationships/hyperlink" Target="https://www.sec.gov/Archives/edgar/data/0000063908/000006390817000017/mcd-12312016x10k.htm" TargetMode="External"/><Relationship Id="rId21" Type="http://schemas.openxmlformats.org/officeDocument/2006/relationships/hyperlink" Target="https://stockanalysis.com/stocks/mcd/market-cap/" TargetMode="External"/><Relationship Id="rId7" Type="http://schemas.openxmlformats.org/officeDocument/2006/relationships/hyperlink" Target="https://www.sec.gov/Archives/edgar/data/0000063908/000006390814000059/mcd-6302014x10q.htm" TargetMode="External"/><Relationship Id="rId12" Type="http://schemas.openxmlformats.org/officeDocument/2006/relationships/hyperlink" Target="https://www.sec.gov/Archives/edgar/data/0000063908/000006390816000121/mcd-3312016x10q.htm" TargetMode="External"/><Relationship Id="rId17" Type="http://schemas.openxmlformats.org/officeDocument/2006/relationships/hyperlink" Target="https://www.sec.gov/ix?doc=/Archives/edgar/data/0000063908/000006390817000053/mcd-9302017x10q.htm" TargetMode="External"/><Relationship Id="rId25" Type="http://schemas.openxmlformats.org/officeDocument/2006/relationships/hyperlink" Target="https://www.ers.usda.gov/amber-waves/2015/march/recession-had-greater-impact-on-visits-to-sit-down-restaurants-than-fast-food-places/" TargetMode="External"/><Relationship Id="rId2" Type="http://schemas.openxmlformats.org/officeDocument/2006/relationships/hyperlink" Target="https://www.sec.gov/Archives/edgar/data/0000063908/000006390816000103/mcd-12312015x10k.htm" TargetMode="External"/><Relationship Id="rId16" Type="http://schemas.openxmlformats.org/officeDocument/2006/relationships/hyperlink" Target="https://www.sec.gov/ix?doc=/Archives/edgar/data/0000063908/000006390817000039/mcd-6302017x10q.htm" TargetMode="External"/><Relationship Id="rId20" Type="http://schemas.openxmlformats.org/officeDocument/2006/relationships/hyperlink" Target="https://www.sec.gov/ix?doc=/Archives/edgar/data/0000063908/000006390818000064/mcd-9302018x10q.htm" TargetMode="External"/><Relationship Id="rId1" Type="http://schemas.openxmlformats.org/officeDocument/2006/relationships/hyperlink" Target="https://www.sec.gov/Archives/edgar/data/0000063908/000006390815000016/mcd-12312014x10k.htm" TargetMode="External"/><Relationship Id="rId6" Type="http://schemas.openxmlformats.org/officeDocument/2006/relationships/hyperlink" Target="https://www.sec.gov/Archives/edgar/data/0000063908/000006390814000032/mcd-3312014x10q.htm" TargetMode="External"/><Relationship Id="rId11" Type="http://schemas.openxmlformats.org/officeDocument/2006/relationships/hyperlink" Target="https://www.sec.gov/Archives/edgar/data/0000063908/000006390815000081/mcd-9302015x10q.htm" TargetMode="External"/><Relationship Id="rId24" Type="http://schemas.openxmlformats.org/officeDocument/2006/relationships/hyperlink" Target="https://treasury.gov.au/publication/economic-roundup-winter-2003/the-economic-impact-of-severe-acute-respiratory-syndrome-sars" TargetMode="External"/><Relationship Id="rId5" Type="http://schemas.openxmlformats.org/officeDocument/2006/relationships/hyperlink" Target="https://www.sec.gov/ix?doc=/Archives/edgar/data/0000063908/000006390819000010/mcd-12312018x10k.htm" TargetMode="External"/><Relationship Id="rId15" Type="http://schemas.openxmlformats.org/officeDocument/2006/relationships/hyperlink" Target="https://www.sec.gov/Archives/edgar/data/0000063908/000006390817000025/mcd-3312017x10q.htm" TargetMode="External"/><Relationship Id="rId23" Type="http://schemas.openxmlformats.org/officeDocument/2006/relationships/hyperlink" Target="https://www.bls.gov/regions/mid-atlantic/data/consumerpriceindexhistorical_us_table.htm" TargetMode="External"/><Relationship Id="rId10" Type="http://schemas.openxmlformats.org/officeDocument/2006/relationships/hyperlink" Target="https://www.sec.gov/Archives/edgar/data/0000063908/000006390815000065/mcd-6302015x10q.htm" TargetMode="External"/><Relationship Id="rId19" Type="http://schemas.openxmlformats.org/officeDocument/2006/relationships/hyperlink" Target="https://www.sec.gov/ix?doc=/Archives/edgar/data/0000063908/000006390818000049/mcd-6302018x10q.htm" TargetMode="External"/><Relationship Id="rId4" Type="http://schemas.openxmlformats.org/officeDocument/2006/relationships/hyperlink" Target="https://www.sec.gov/ix?doc=/Archives/edgar/data/0000063908/000006390818000010/mcd-12312017x10k.htm" TargetMode="External"/><Relationship Id="rId9" Type="http://schemas.openxmlformats.org/officeDocument/2006/relationships/hyperlink" Target="https://www.sec.gov/Archives/edgar/data/0000063908/000006390815000039/mcd-3312015x10q.htm" TargetMode="External"/><Relationship Id="rId14" Type="http://schemas.openxmlformats.org/officeDocument/2006/relationships/hyperlink" Target="https://www.sec.gov/Archives/edgar/data/0000063908/000006390816000161/mcd-9302016x10q.htm" TargetMode="External"/><Relationship Id="rId22" Type="http://schemas.openxmlformats.org/officeDocument/2006/relationships/hyperlink" Target="https://www.ibisworld.com/global/market-size/global-fast-food-restaurants/1480/"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hyperlink" Target="https://www.sec.gov/ix?doc=/Archives/edgar/data/0000063908/000006390822000011/mcd-20211231.htm" TargetMode="External"/><Relationship Id="rId7" Type="http://schemas.openxmlformats.org/officeDocument/2006/relationships/hyperlink" Target="https://www.bls.gov/regions/mid-atlantic/data/consumerpriceindexhistorical_us_table.htm" TargetMode="External"/><Relationship Id="rId2" Type="http://schemas.openxmlformats.org/officeDocument/2006/relationships/hyperlink" Target="https://www.sec.gov/ix?doc=/Archives/edgar/data/0000063908/000006390821000013/mcd-20201231.htm" TargetMode="External"/><Relationship Id="rId1" Type="http://schemas.openxmlformats.org/officeDocument/2006/relationships/hyperlink" Target="https://www.sec.gov/ix?doc=/Archives/edgar/data/0000063908/000006390820000022/mcd-12312019x10k.htm" TargetMode="External"/><Relationship Id="rId6" Type="http://schemas.openxmlformats.org/officeDocument/2006/relationships/hyperlink" Target="https://www.ibisworld.com/global/market-size/global-fast-food-restaurants/1480/" TargetMode="External"/><Relationship Id="rId5" Type="http://schemas.openxmlformats.org/officeDocument/2006/relationships/hyperlink" Target="https://www.sec.gov/ix?doc=/Archives/edgar/data/0000063908/000006390824000072/mcd-20231231.htm" TargetMode="External"/><Relationship Id="rId4" Type="http://schemas.openxmlformats.org/officeDocument/2006/relationships/hyperlink" Target="https://www.sec.gov/ix?doc=/Archives/edgar/data/0000063908/000006390823000012/mcd-20221231.htm"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9137-D783-4DC6-943E-896448EC709A}">
  <dimension ref="A1:D30"/>
  <sheetViews>
    <sheetView topLeftCell="A12" zoomScaleNormal="100" workbookViewId="0">
      <selection activeCell="D18" sqref="D18"/>
    </sheetView>
  </sheetViews>
  <sheetFormatPr defaultRowHeight="14.5" x14ac:dyDescent="0.35"/>
  <cols>
    <col min="1" max="1" width="11.54296875" bestFit="1" customWidth="1"/>
    <col min="2" max="2" width="39.54296875" bestFit="1" customWidth="1"/>
    <col min="3" max="3" width="41.6328125" bestFit="1" customWidth="1"/>
    <col min="4" max="4" width="24.81640625" customWidth="1"/>
  </cols>
  <sheetData>
    <row r="1" spans="1:4" ht="20" thickBot="1" x14ac:dyDescent="0.5">
      <c r="A1" s="778" t="s">
        <v>281</v>
      </c>
      <c r="B1" s="778"/>
      <c r="C1" s="778"/>
      <c r="D1" s="778"/>
    </row>
    <row r="2" spans="1:4" ht="15" thickTop="1" x14ac:dyDescent="0.35">
      <c r="A2" s="777" t="s">
        <v>224</v>
      </c>
      <c r="B2" s="777"/>
      <c r="C2" s="777"/>
      <c r="D2" s="777"/>
    </row>
    <row r="4" spans="1:4" x14ac:dyDescent="0.35">
      <c r="A4" s="1" t="s">
        <v>9</v>
      </c>
      <c r="B4" s="3" t="s">
        <v>11</v>
      </c>
    </row>
    <row r="5" spans="1:4" ht="16.5" x14ac:dyDescent="0.35">
      <c r="A5" s="2" t="s">
        <v>8</v>
      </c>
      <c r="B5" t="s">
        <v>376</v>
      </c>
    </row>
    <row r="6" spans="1:4" x14ac:dyDescent="0.35">
      <c r="A6" s="2" t="s">
        <v>10</v>
      </c>
      <c r="B6" s="4" t="s">
        <v>28</v>
      </c>
    </row>
    <row r="8" spans="1:4" x14ac:dyDescent="0.35">
      <c r="A8" s="1"/>
      <c r="B8" s="3"/>
    </row>
    <row r="17" spans="1:4" x14ac:dyDescent="0.35">
      <c r="A17" s="5" t="s">
        <v>27</v>
      </c>
      <c r="B17" s="5" t="s">
        <v>0</v>
      </c>
      <c r="C17" s="5" t="s">
        <v>1</v>
      </c>
      <c r="D17" s="5" t="s">
        <v>2</v>
      </c>
    </row>
    <row r="18" spans="1:4" x14ac:dyDescent="0.35">
      <c r="A18" s="6">
        <v>1</v>
      </c>
      <c r="B18" s="7" t="s">
        <v>12</v>
      </c>
      <c r="C18" s="7" t="s">
        <v>29</v>
      </c>
      <c r="D18" s="8" t="s">
        <v>3</v>
      </c>
    </row>
    <row r="19" spans="1:4" x14ac:dyDescent="0.35">
      <c r="A19" s="6">
        <v>2</v>
      </c>
      <c r="B19" s="7" t="s">
        <v>13</v>
      </c>
      <c r="C19" s="7" t="s">
        <v>20</v>
      </c>
      <c r="D19" s="8" t="s">
        <v>4</v>
      </c>
    </row>
    <row r="20" spans="1:4" x14ac:dyDescent="0.35">
      <c r="A20" s="6">
        <v>3</v>
      </c>
      <c r="B20" s="7" t="s">
        <v>14</v>
      </c>
      <c r="C20" s="7" t="s">
        <v>21</v>
      </c>
      <c r="D20" s="8" t="s">
        <v>5</v>
      </c>
    </row>
    <row r="21" spans="1:4" x14ac:dyDescent="0.35">
      <c r="A21" s="6">
        <v>4</v>
      </c>
      <c r="B21" s="7" t="s">
        <v>15</v>
      </c>
      <c r="C21" s="7" t="s">
        <v>22</v>
      </c>
      <c r="D21" s="8" t="s">
        <v>6</v>
      </c>
    </row>
    <row r="22" spans="1:4" x14ac:dyDescent="0.35">
      <c r="A22" s="6">
        <v>5</v>
      </c>
      <c r="B22" s="7" t="s">
        <v>16</v>
      </c>
      <c r="C22" s="7" t="s">
        <v>23</v>
      </c>
      <c r="D22" s="8" t="s">
        <v>7</v>
      </c>
    </row>
    <row r="23" spans="1:4" x14ac:dyDescent="0.35">
      <c r="A23" s="6">
        <v>6</v>
      </c>
      <c r="B23" s="7" t="s">
        <v>253</v>
      </c>
      <c r="C23" s="7" t="s">
        <v>254</v>
      </c>
      <c r="D23" s="8" t="s">
        <v>255</v>
      </c>
    </row>
    <row r="24" spans="1:4" x14ac:dyDescent="0.35">
      <c r="A24" s="6">
        <v>7</v>
      </c>
      <c r="B24" s="7" t="s">
        <v>240</v>
      </c>
      <c r="C24" s="7" t="s">
        <v>241</v>
      </c>
      <c r="D24" s="8" t="s">
        <v>246</v>
      </c>
    </row>
    <row r="25" spans="1:4" x14ac:dyDescent="0.35">
      <c r="A25" s="6">
        <v>8</v>
      </c>
      <c r="B25" s="7" t="s">
        <v>17</v>
      </c>
      <c r="C25" s="7" t="s">
        <v>242</v>
      </c>
      <c r="D25" s="8" t="s">
        <v>24</v>
      </c>
    </row>
    <row r="26" spans="1:4" x14ac:dyDescent="0.35">
      <c r="A26" s="6">
        <v>9</v>
      </c>
      <c r="B26" s="7" t="s">
        <v>18</v>
      </c>
      <c r="C26" s="7" t="s">
        <v>243</v>
      </c>
      <c r="D26" s="8" t="s">
        <v>25</v>
      </c>
    </row>
    <row r="27" spans="1:4" x14ac:dyDescent="0.35">
      <c r="A27" s="6">
        <v>10</v>
      </c>
      <c r="B27" s="7" t="s">
        <v>97</v>
      </c>
      <c r="C27" s="7" t="s">
        <v>244</v>
      </c>
      <c r="D27" s="8" t="s">
        <v>98</v>
      </c>
    </row>
    <row r="28" spans="1:4" x14ac:dyDescent="0.35">
      <c r="A28" s="6">
        <v>11</v>
      </c>
      <c r="B28" s="7" t="s">
        <v>19</v>
      </c>
      <c r="C28" s="7" t="s">
        <v>245</v>
      </c>
      <c r="D28" s="8" t="s">
        <v>26</v>
      </c>
    </row>
    <row r="29" spans="1:4" x14ac:dyDescent="0.35">
      <c r="A29" s="6">
        <v>12</v>
      </c>
      <c r="B29" s="7" t="s">
        <v>359</v>
      </c>
      <c r="C29" s="7" t="s">
        <v>348</v>
      </c>
      <c r="D29" s="8" t="s">
        <v>361</v>
      </c>
    </row>
    <row r="30" spans="1:4" x14ac:dyDescent="0.35">
      <c r="A30" s="6">
        <v>13</v>
      </c>
      <c r="B30" s="7" t="s">
        <v>384</v>
      </c>
      <c r="C30" s="7" t="s">
        <v>383</v>
      </c>
      <c r="D30" s="8" t="s">
        <v>361</v>
      </c>
    </row>
  </sheetData>
  <mergeCells count="2">
    <mergeCell ref="A2:D2"/>
    <mergeCell ref="A1:D1"/>
  </mergeCells>
  <hyperlinks>
    <hyperlink ref="D18" location="Overview!A1" display="Go to Overview" xr:uid="{DB918512-3618-4575-92F6-42B665C2BB59}"/>
    <hyperlink ref="D19" location="'Balance sheet'!A1" display="Go to Balance Sheet" xr:uid="{E662485A-E9EE-43F7-81B2-371C35607D9A}"/>
    <hyperlink ref="D20" location="'CF statement'!A1" display="Go to CF Statemant" xr:uid="{F5A40AED-5958-4BE3-A850-22D5D35ADB5D}"/>
    <hyperlink ref="D21" location="Ratios!A1" display="Go to Ratios" xr:uid="{C9B4A916-3F8A-4713-B20E-7D8895D9E4A6}"/>
    <hyperlink ref="D22" location="'Segment Analysis'!A1" display="Go to Segement Analysis" xr:uid="{41476C0D-47B9-4A6D-8230-6A9D9542C710}"/>
    <hyperlink ref="D25" location="'Assumed growth'!A1" display="Go to Assumed growth" xr:uid="{B6E28DA3-87D1-4A7B-B07A-A3D9BB2A03C9}"/>
    <hyperlink ref="D26" location="Forecast!A1" display="Go to Forecast" xr:uid="{B73B8FF9-2AD9-42F1-B513-A7665FACB33E}"/>
    <hyperlink ref="D28" location="Summary!A1" display="Go to Summary" xr:uid="{816517DB-C32B-440D-B7B9-668A1A5828EC}"/>
    <hyperlink ref="D27" location="References!A1" display="Go to References" xr:uid="{759AEB0C-16A7-4690-845A-43FEF450F65C}"/>
    <hyperlink ref="D24" location="'Market Research'!A1" display="Go to Market Research" xr:uid="{C4D0C653-B24C-4FB2-9892-B7B12B130446}"/>
    <hyperlink ref="D23" location="'Quarterly Data'!A1" display="Go to Quarterly Data" xr:uid="{B6C5F644-0E6F-4BF9-B166-89F16FC725C5}"/>
    <hyperlink ref="D29" location="Home!A1" display="Go to Outcome Analysis" xr:uid="{5B0FB680-9D55-48F2-8F2D-0BB66D13FE7E}"/>
    <hyperlink ref="D30" location="Conclusion!A1" display="Go to Outcome Analysis" xr:uid="{4CBDD0FD-DFC8-4E98-BDD1-4AB9ED0406C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9ED37-C9CA-4834-B476-364FF33D7D40}">
  <dimension ref="A1:S62"/>
  <sheetViews>
    <sheetView topLeftCell="B20" zoomScale="80" zoomScaleNormal="80" zoomScaleSheetLayoutView="50" workbookViewId="0">
      <selection sqref="A1:N1"/>
    </sheetView>
  </sheetViews>
  <sheetFormatPr defaultRowHeight="14.5" x14ac:dyDescent="0.35"/>
  <cols>
    <col min="1" max="1" width="37.7265625" bestFit="1" customWidth="1"/>
    <col min="2" max="7" width="12.6328125" customWidth="1"/>
    <col min="8" max="8" width="9.26953125" customWidth="1"/>
    <col min="9" max="9" width="18.90625" customWidth="1"/>
    <col min="10" max="10" width="11.54296875" customWidth="1"/>
    <col min="11" max="12" width="11.36328125" bestFit="1" customWidth="1"/>
    <col min="13" max="14" width="9.6328125" customWidth="1"/>
  </cols>
  <sheetData>
    <row r="1" spans="1:14" ht="24.5" customHeight="1" thickBot="1" x14ac:dyDescent="0.5">
      <c r="A1" s="783" t="s">
        <v>58</v>
      </c>
      <c r="B1" s="783"/>
      <c r="C1" s="783"/>
      <c r="D1" s="783"/>
      <c r="E1" s="783"/>
      <c r="F1" s="783"/>
      <c r="G1" s="783"/>
      <c r="H1" s="783"/>
      <c r="I1" s="783"/>
      <c r="J1" s="783"/>
      <c r="K1" s="783"/>
      <c r="L1" s="783"/>
      <c r="M1" s="783"/>
      <c r="N1" s="783"/>
    </row>
    <row r="2" spans="1:14" ht="15" thickTop="1" x14ac:dyDescent="0.35">
      <c r="A2" s="218" t="s">
        <v>35</v>
      </c>
      <c r="B2" s="219"/>
      <c r="C2" s="219"/>
      <c r="D2" s="219"/>
      <c r="E2" s="219"/>
      <c r="F2" s="219"/>
      <c r="G2" s="219"/>
      <c r="H2" s="219"/>
      <c r="I2" s="219"/>
      <c r="J2" s="219"/>
      <c r="K2" s="219"/>
      <c r="L2" s="219"/>
      <c r="M2" s="219"/>
      <c r="N2" s="219"/>
    </row>
    <row r="3" spans="1:14" x14ac:dyDescent="0.35">
      <c r="A3" s="220" t="s">
        <v>328</v>
      </c>
      <c r="B3" s="219"/>
      <c r="C3" s="219"/>
      <c r="D3" s="219"/>
      <c r="E3" s="219"/>
      <c r="F3" s="219"/>
      <c r="G3" s="219"/>
      <c r="H3" s="219"/>
      <c r="I3" s="219"/>
      <c r="J3" s="219"/>
      <c r="K3" s="219"/>
      <c r="L3" s="219"/>
      <c r="M3" s="219"/>
      <c r="N3" s="219"/>
    </row>
    <row r="4" spans="1:14" ht="15" thickBot="1" x14ac:dyDescent="0.4">
      <c r="A4" s="220" t="s">
        <v>257</v>
      </c>
      <c r="B4" s="219"/>
      <c r="C4" s="219"/>
      <c r="D4" s="219"/>
      <c r="E4" s="219"/>
      <c r="F4" s="219"/>
      <c r="G4" s="219"/>
      <c r="H4" s="219"/>
      <c r="I4" s="219"/>
      <c r="J4" s="219"/>
      <c r="K4" s="219"/>
      <c r="L4" s="219"/>
      <c r="M4" s="219"/>
      <c r="N4" s="219"/>
    </row>
    <row r="5" spans="1:14" x14ac:dyDescent="0.35">
      <c r="A5" s="787" t="s">
        <v>56</v>
      </c>
      <c r="B5" s="781" t="s">
        <v>101</v>
      </c>
      <c r="C5" s="781"/>
      <c r="D5" s="781"/>
      <c r="E5" s="781"/>
      <c r="F5" s="782"/>
      <c r="G5" s="222" t="s">
        <v>48</v>
      </c>
      <c r="H5" s="223"/>
      <c r="I5" s="789" t="s">
        <v>56</v>
      </c>
      <c r="J5" s="224" t="s">
        <v>33</v>
      </c>
      <c r="K5" s="221"/>
      <c r="L5" s="221"/>
      <c r="M5" s="221"/>
      <c r="N5" s="225"/>
    </row>
    <row r="6" spans="1:14" ht="15" thickBot="1" x14ac:dyDescent="0.4">
      <c r="A6" s="788"/>
      <c r="B6" s="378">
        <v>2014</v>
      </c>
      <c r="C6" s="379">
        <v>2015</v>
      </c>
      <c r="D6" s="379">
        <v>2016</v>
      </c>
      <c r="E6" s="379">
        <v>2017</v>
      </c>
      <c r="F6" s="379">
        <v>2018</v>
      </c>
      <c r="G6" s="226"/>
      <c r="H6" s="219"/>
      <c r="I6" s="790"/>
      <c r="J6" s="379">
        <v>2014</v>
      </c>
      <c r="K6" s="379">
        <v>2015</v>
      </c>
      <c r="L6" s="379">
        <v>2016</v>
      </c>
      <c r="M6" s="379">
        <v>2017</v>
      </c>
      <c r="N6" s="386">
        <v>2018</v>
      </c>
    </row>
    <row r="7" spans="1:14" x14ac:dyDescent="0.35">
      <c r="A7" s="227" t="s">
        <v>30</v>
      </c>
      <c r="B7" s="228"/>
      <c r="C7" s="229"/>
      <c r="D7" s="229"/>
      <c r="E7" s="229"/>
      <c r="F7" s="229"/>
      <c r="G7" s="230"/>
      <c r="H7" s="219"/>
      <c r="I7" s="231" t="s">
        <v>52</v>
      </c>
      <c r="J7" s="522" t="s">
        <v>51</v>
      </c>
      <c r="K7" s="523">
        <f>C11</f>
        <v>-7.5012075381789625E-2</v>
      </c>
      <c r="L7" s="523">
        <f>D11</f>
        <v>-4.3199893399009093E-2</v>
      </c>
      <c r="M7" s="523">
        <f>E11</f>
        <v>-9.2499548219490829E-2</v>
      </c>
      <c r="N7" s="524">
        <f>F11</f>
        <v>-0.10063328292422634</v>
      </c>
    </row>
    <row r="8" spans="1:14" x14ac:dyDescent="0.35">
      <c r="A8" s="232" t="s">
        <v>31</v>
      </c>
      <c r="B8" s="363">
        <v>19272.262837506762</v>
      </c>
      <c r="C8" s="364">
        <v>17468.165642126936</v>
      </c>
      <c r="D8" s="364">
        <v>16002.373118284049</v>
      </c>
      <c r="E8" s="364">
        <v>13029.556226746083</v>
      </c>
      <c r="F8" s="364">
        <v>10012.700000000001</v>
      </c>
      <c r="G8" s="514">
        <f>(((F8/B8)^(0.2))-1)*100%</f>
        <v>-0.12274934973102614</v>
      </c>
      <c r="H8" s="219"/>
      <c r="I8" s="233" t="s">
        <v>54</v>
      </c>
      <c r="J8" s="525" t="s">
        <v>51</v>
      </c>
      <c r="K8" s="526">
        <f>C27</f>
        <v>-3.913894324853319E-3</v>
      </c>
      <c r="L8" s="526">
        <f>D27</f>
        <v>0.11787819253438125</v>
      </c>
      <c r="M8" s="526">
        <f>E27</f>
        <v>0.14762741652021086</v>
      </c>
      <c r="N8" s="527">
        <f>F27</f>
        <v>0.15467075038284836</v>
      </c>
    </row>
    <row r="9" spans="1:14" x14ac:dyDescent="0.35">
      <c r="A9" s="232" t="s">
        <v>32</v>
      </c>
      <c r="B9" s="363">
        <v>9834.8544539064624</v>
      </c>
      <c r="C9" s="364">
        <v>9455.5663728762065</v>
      </c>
      <c r="D9" s="364">
        <v>9758.256543767473</v>
      </c>
      <c r="E9" s="364">
        <v>10348.226829716057</v>
      </c>
      <c r="F9" s="364">
        <v>11012.5</v>
      </c>
      <c r="G9" s="771">
        <f t="shared" ref="G9" si="0">(((F9/B9)^(0.2))-1)*100%</f>
        <v>2.2877432193657787E-2</v>
      </c>
      <c r="H9" s="219"/>
      <c r="I9" s="234" t="s">
        <v>49</v>
      </c>
      <c r="J9" s="528">
        <f>B19</f>
        <v>0.28967286535258902</v>
      </c>
      <c r="K9" s="528">
        <f>C19</f>
        <v>0.28119466414827055</v>
      </c>
      <c r="L9" s="528">
        <f>D19</f>
        <v>0.31453705847233565</v>
      </c>
      <c r="M9" s="528">
        <f>E19</f>
        <v>0.41860353017475599</v>
      </c>
      <c r="N9" s="529">
        <f>F19</f>
        <v>0.41962026520556284</v>
      </c>
    </row>
    <row r="10" spans="1:14" ht="15" thickBot="1" x14ac:dyDescent="0.4">
      <c r="A10" s="235" t="s">
        <v>34</v>
      </c>
      <c r="B10" s="365">
        <f>SUM(B8:B9)</f>
        <v>29107.117291413226</v>
      </c>
      <c r="C10" s="366">
        <f>SUM(C8:C9)</f>
        <v>26923.732015003145</v>
      </c>
      <c r="D10" s="366">
        <f>SUM(D8:D9)</f>
        <v>25760.62966205152</v>
      </c>
      <c r="E10" s="366">
        <f>SUM(E8:E9)</f>
        <v>23377.78305646214</v>
      </c>
      <c r="F10" s="366">
        <f>SUM(F8:F9)</f>
        <v>21025.200000000001</v>
      </c>
      <c r="G10" s="515">
        <f>(((F10/B10)^(0.2))-1)*100%</f>
        <v>-6.2981451473386629E-2</v>
      </c>
      <c r="H10" s="219"/>
      <c r="I10" s="237" t="s">
        <v>50</v>
      </c>
      <c r="J10" s="530">
        <f>B25</f>
        <v>0.17338828699806497</v>
      </c>
      <c r="K10" s="530">
        <f>C25</f>
        <v>0.17821587376539566</v>
      </c>
      <c r="L10" s="530">
        <f>D25</f>
        <v>0.19033868223004727</v>
      </c>
      <c r="M10" s="530">
        <f>E25</f>
        <v>0.22752887767085603</v>
      </c>
      <c r="N10" s="531">
        <f>F25</f>
        <v>0.28177139813176572</v>
      </c>
    </row>
    <row r="11" spans="1:14" x14ac:dyDescent="0.35">
      <c r="A11" s="238" t="s">
        <v>52</v>
      </c>
      <c r="B11" s="239" t="s">
        <v>51</v>
      </c>
      <c r="C11" s="513">
        <f>((C10-B10)/B10)*100%</f>
        <v>-7.5012075381789625E-2</v>
      </c>
      <c r="D11" s="513">
        <f>((D10-C10)/C10)*100%</f>
        <v>-4.3199893399009093E-2</v>
      </c>
      <c r="E11" s="513">
        <f>((E10-D10)/D10)*100%</f>
        <v>-9.2499548219490829E-2</v>
      </c>
      <c r="F11" s="513">
        <f>((F10-E10)/E10)*100%</f>
        <v>-0.10063328292422634</v>
      </c>
      <c r="G11" s="516"/>
      <c r="H11" s="219"/>
      <c r="I11" s="219"/>
      <c r="J11" s="219"/>
      <c r="K11" s="219"/>
      <c r="L11" s="219"/>
      <c r="M11" s="219"/>
      <c r="N11" s="240"/>
    </row>
    <row r="12" spans="1:14" x14ac:dyDescent="0.35">
      <c r="A12" s="241" t="s">
        <v>36</v>
      </c>
      <c r="B12" s="242"/>
      <c r="C12" s="243"/>
      <c r="D12" s="243"/>
      <c r="E12" s="243"/>
      <c r="F12" s="243"/>
      <c r="G12" s="517"/>
      <c r="H12" s="219"/>
      <c r="I12" s="219"/>
      <c r="J12" s="219"/>
      <c r="K12" s="219"/>
      <c r="L12" s="219"/>
      <c r="M12" s="219"/>
      <c r="N12" s="240"/>
    </row>
    <row r="13" spans="1:14" x14ac:dyDescent="0.35">
      <c r="A13" s="244" t="s">
        <v>37</v>
      </c>
      <c r="B13" s="367">
        <v>16216.054237631795</v>
      </c>
      <c r="C13" s="368">
        <v>14807.893691169831</v>
      </c>
      <c r="D13" s="368">
        <v>13286.102370347529</v>
      </c>
      <c r="E13" s="368">
        <v>10663.852101827677</v>
      </c>
      <c r="F13" s="368">
        <f>3153.8+2937.9+2174.2</f>
        <v>8265.9000000000015</v>
      </c>
      <c r="G13" s="514">
        <f>(((F13/B13)^(0.2))-1)*100%</f>
        <v>-0.12608540641806831</v>
      </c>
      <c r="H13" s="219"/>
      <c r="I13" s="219"/>
      <c r="J13" s="219"/>
      <c r="K13" s="219"/>
      <c r="L13" s="219"/>
      <c r="M13" s="219"/>
      <c r="N13" s="240"/>
    </row>
    <row r="14" spans="1:14" x14ac:dyDescent="0.35">
      <c r="A14" s="244" t="s">
        <v>38</v>
      </c>
      <c r="B14" s="367">
        <v>1800.0159629291702</v>
      </c>
      <c r="C14" s="368">
        <v>1744.9095592299286</v>
      </c>
      <c r="D14" s="368">
        <v>1797.8736820176077</v>
      </c>
      <c r="E14" s="368">
        <v>1833.7203410574411</v>
      </c>
      <c r="F14" s="368">
        <v>1973.3</v>
      </c>
      <c r="G14" s="770">
        <f t="shared" ref="G14:G18" si="1">(((F14/B14)^(0.2))-1)*100%</f>
        <v>1.8552342388471477E-2</v>
      </c>
      <c r="H14" s="219"/>
      <c r="I14" s="219"/>
      <c r="J14" s="219"/>
      <c r="K14" s="219"/>
      <c r="L14" s="219"/>
      <c r="M14" s="219"/>
      <c r="N14" s="240"/>
    </row>
    <row r="15" spans="1:14" x14ac:dyDescent="0.35">
      <c r="A15" s="244" t="s">
        <v>39</v>
      </c>
      <c r="B15" s="367">
        <v>2639.033421194918</v>
      </c>
      <c r="C15" s="368">
        <v>2578.6945155832705</v>
      </c>
      <c r="D15" s="368">
        <v>2494.7799085026686</v>
      </c>
      <c r="E15" s="368">
        <v>2285.7989927382509</v>
      </c>
      <c r="F15" s="368">
        <v>2200.1999999999998</v>
      </c>
      <c r="G15" s="514">
        <f t="shared" si="1"/>
        <v>-3.5719345424649607E-2</v>
      </c>
      <c r="H15" s="219"/>
      <c r="I15" s="219"/>
      <c r="J15" s="219"/>
      <c r="K15" s="219"/>
      <c r="L15" s="219"/>
      <c r="M15" s="219"/>
      <c r="N15" s="240"/>
    </row>
    <row r="16" spans="1:14" x14ac:dyDescent="0.35">
      <c r="A16" s="244" t="s">
        <v>40</v>
      </c>
      <c r="B16" s="367">
        <v>20.15339027439849</v>
      </c>
      <c r="C16" s="368">
        <v>221.42446744326358</v>
      </c>
      <c r="D16" s="368">
        <v>79.201022886832462</v>
      </c>
      <c r="E16" s="369">
        <v>-1191.6108942558747</v>
      </c>
      <c r="F16" s="369">
        <v>-236.8</v>
      </c>
      <c r="G16" s="514">
        <f t="shared" si="1"/>
        <v>-2.6368418357882213</v>
      </c>
      <c r="H16" s="219"/>
      <c r="I16" s="219"/>
      <c r="J16" s="219"/>
      <c r="K16" s="219"/>
      <c r="L16" s="219"/>
      <c r="M16" s="219"/>
      <c r="N16" s="240"/>
    </row>
    <row r="17" spans="1:14" x14ac:dyDescent="0.35">
      <c r="A17" s="235" t="s">
        <v>41</v>
      </c>
      <c r="B17" s="365">
        <f>SUM(B13:B16)</f>
        <v>20675.257012030281</v>
      </c>
      <c r="C17" s="366">
        <f>SUM(C13:C16)</f>
        <v>19352.922233426292</v>
      </c>
      <c r="D17" s="366">
        <f>SUM(D13:D16)</f>
        <v>17657.956983754637</v>
      </c>
      <c r="E17" s="366">
        <f>SUM(E13:E16)</f>
        <v>13591.760541367494</v>
      </c>
      <c r="F17" s="366">
        <f>SUM(F13:F16)</f>
        <v>12202.600000000002</v>
      </c>
      <c r="G17" s="515">
        <f t="shared" si="1"/>
        <v>-0.10008748471340012</v>
      </c>
      <c r="H17" s="219"/>
      <c r="I17" s="219"/>
      <c r="J17" s="219"/>
      <c r="K17" s="219"/>
      <c r="L17" s="219"/>
      <c r="M17" s="219"/>
      <c r="N17" s="240"/>
    </row>
    <row r="18" spans="1:14" x14ac:dyDescent="0.35">
      <c r="A18" s="245" t="s">
        <v>42</v>
      </c>
      <c r="B18" s="370">
        <v>8431.5420679575582</v>
      </c>
      <c r="C18" s="371">
        <v>7570.8097815768488</v>
      </c>
      <c r="D18" s="371">
        <v>8102.6726782968826</v>
      </c>
      <c r="E18" s="371">
        <v>9786.022515094648</v>
      </c>
      <c r="F18" s="371">
        <v>8822.6</v>
      </c>
      <c r="G18" s="159">
        <f t="shared" si="1"/>
        <v>9.108619208226143E-3</v>
      </c>
      <c r="H18" s="219"/>
      <c r="I18" s="219"/>
      <c r="J18" s="219"/>
      <c r="K18" s="219"/>
      <c r="L18" s="219"/>
      <c r="M18" s="219"/>
      <c r="N18" s="240"/>
    </row>
    <row r="19" spans="1:14" x14ac:dyDescent="0.35">
      <c r="A19" s="246" t="s">
        <v>49</v>
      </c>
      <c r="B19" s="151">
        <f>(B18/B10)*100%</f>
        <v>0.28967286535258902</v>
      </c>
      <c r="C19" s="22">
        <f>(C18/C10)*100%</f>
        <v>0.28119466414827055</v>
      </c>
      <c r="D19" s="22">
        <f>(D18/D10)*100%</f>
        <v>0.31453705847233565</v>
      </c>
      <c r="E19" s="22">
        <f>(E18/E10)*100%</f>
        <v>0.41860353017475599</v>
      </c>
      <c r="F19" s="22">
        <f>(F18/F10)*100%</f>
        <v>0.41962026520556284</v>
      </c>
      <c r="G19" s="360" t="s">
        <v>51</v>
      </c>
      <c r="H19" s="219"/>
      <c r="I19" s="219"/>
      <c r="J19" s="219"/>
      <c r="K19" s="219"/>
      <c r="L19" s="219"/>
      <c r="M19" s="219"/>
      <c r="N19" s="240"/>
    </row>
    <row r="20" spans="1:14" x14ac:dyDescent="0.35">
      <c r="A20" s="247" t="s">
        <v>43</v>
      </c>
      <c r="B20" s="372">
        <v>610.96593673965947</v>
      </c>
      <c r="C20" s="373">
        <v>675.92732166890983</v>
      </c>
      <c r="D20" s="373">
        <v>925.72080647647761</v>
      </c>
      <c r="E20" s="373">
        <v>943.80254202023491</v>
      </c>
      <c r="F20" s="373">
        <v>981.2</v>
      </c>
      <c r="G20" s="161"/>
      <c r="H20" s="219"/>
      <c r="I20" s="219"/>
      <c r="J20" s="219"/>
      <c r="K20" s="219"/>
      <c r="L20" s="219"/>
      <c r="M20" s="219"/>
      <c r="N20" s="240"/>
    </row>
    <row r="21" spans="1:14" x14ac:dyDescent="0.35">
      <c r="A21" s="247" t="s">
        <v>44</v>
      </c>
      <c r="B21" s="372">
        <v>1.060704751284131</v>
      </c>
      <c r="C21" s="369">
        <v>-50.853466207065317</v>
      </c>
      <c r="D21" s="369">
        <v>-6.5913665018103629</v>
      </c>
      <c r="E21" s="373">
        <v>59.314194272193212</v>
      </c>
      <c r="F21" s="373">
        <v>25.3</v>
      </c>
      <c r="G21" s="161"/>
      <c r="H21" s="219"/>
      <c r="I21" s="219"/>
      <c r="J21" s="219"/>
      <c r="K21" s="219"/>
      <c r="L21" s="219"/>
      <c r="M21" s="219"/>
      <c r="N21" s="240"/>
    </row>
    <row r="22" spans="1:14" x14ac:dyDescent="0.35">
      <c r="A22" s="245" t="s">
        <v>45</v>
      </c>
      <c r="B22" s="370">
        <v>7819.5154264666135</v>
      </c>
      <c r="C22" s="371">
        <v>6945.735926115005</v>
      </c>
      <c r="D22" s="371">
        <v>7183.5432383222151</v>
      </c>
      <c r="E22" s="371">
        <v>8782.9057788022219</v>
      </c>
      <c r="F22" s="371">
        <f>F18-F20-F21</f>
        <v>7816.1</v>
      </c>
      <c r="G22" s="162"/>
      <c r="H22" s="219"/>
      <c r="I22" s="219"/>
      <c r="J22" s="219"/>
      <c r="K22" s="219"/>
      <c r="L22" s="219"/>
      <c r="M22" s="219"/>
      <c r="N22" s="240"/>
    </row>
    <row r="23" spans="1:14" x14ac:dyDescent="0.35">
      <c r="A23" s="247" t="s">
        <v>46</v>
      </c>
      <c r="B23" s="372">
        <v>2772.6822198567183</v>
      </c>
      <c r="C23" s="373">
        <v>2147.4995000358626</v>
      </c>
      <c r="D23" s="373">
        <v>2280.2989350310613</v>
      </c>
      <c r="E23" s="373">
        <v>3463.785037532637</v>
      </c>
      <c r="F23" s="373">
        <v>1891.8</v>
      </c>
      <c r="G23" s="161"/>
      <c r="H23" s="219"/>
      <c r="I23" s="219"/>
      <c r="J23" s="219"/>
      <c r="K23" s="219"/>
      <c r="L23" s="219"/>
      <c r="M23" s="219"/>
      <c r="N23" s="240"/>
    </row>
    <row r="24" spans="1:14" x14ac:dyDescent="0.35">
      <c r="A24" s="235" t="s">
        <v>47</v>
      </c>
      <c r="B24" s="365">
        <f>B22-B23</f>
        <v>5046.8332066098956</v>
      </c>
      <c r="C24" s="366">
        <f>C22-C23</f>
        <v>4798.2364260791419</v>
      </c>
      <c r="D24" s="366">
        <f>D22-D23</f>
        <v>4903.2443032911542</v>
      </c>
      <c r="E24" s="366">
        <f>E22-E23</f>
        <v>5319.1207412695849</v>
      </c>
      <c r="F24" s="366">
        <f>F22-F23</f>
        <v>5924.3</v>
      </c>
      <c r="G24" s="163">
        <f>(((F24/B24)^(0.2))-1)*100%</f>
        <v>3.2579784054073802E-2</v>
      </c>
      <c r="H24" s="219"/>
      <c r="I24" s="219"/>
      <c r="J24" s="219"/>
      <c r="K24" s="219"/>
      <c r="L24" s="219"/>
      <c r="M24" s="219"/>
      <c r="N24" s="240"/>
    </row>
    <row r="25" spans="1:14" x14ac:dyDescent="0.35">
      <c r="A25" s="248" t="s">
        <v>50</v>
      </c>
      <c r="B25" s="152">
        <f>(B24/B10)*100%</f>
        <v>0.17338828699806497</v>
      </c>
      <c r="C25" s="23">
        <f>(C24/C10)*100%</f>
        <v>0.17821587376539566</v>
      </c>
      <c r="D25" s="23">
        <f>(D24/D10)*100%</f>
        <v>0.19033868223004727</v>
      </c>
      <c r="E25" s="23">
        <f>(E24/E10)*100%</f>
        <v>0.22752887767085603</v>
      </c>
      <c r="F25" s="23">
        <f>(F24/F10)*100%</f>
        <v>0.28177139813176572</v>
      </c>
      <c r="G25" s="164" t="s">
        <v>51</v>
      </c>
      <c r="H25" s="219"/>
      <c r="I25" s="219"/>
      <c r="J25" s="219"/>
      <c r="K25" s="219"/>
      <c r="L25" s="219"/>
      <c r="M25" s="219"/>
      <c r="N25" s="240"/>
    </row>
    <row r="26" spans="1:14" x14ac:dyDescent="0.35">
      <c r="A26" s="249" t="s">
        <v>53</v>
      </c>
      <c r="B26" s="374">
        <v>5.1100000000000003</v>
      </c>
      <c r="C26" s="375">
        <v>5.09</v>
      </c>
      <c r="D26" s="375">
        <v>5.69</v>
      </c>
      <c r="E26" s="375">
        <v>6.53</v>
      </c>
      <c r="F26" s="375">
        <v>7.54</v>
      </c>
      <c r="G26" s="165">
        <f>(((F26/B26)^(0.2))-1)*100%</f>
        <v>8.0911379905709735E-2</v>
      </c>
      <c r="H26" s="219"/>
      <c r="I26" s="250"/>
      <c r="J26" s="250"/>
      <c r="K26" s="250"/>
      <c r="L26" s="250"/>
      <c r="M26" s="250"/>
      <c r="N26" s="251"/>
    </row>
    <row r="27" spans="1:14" ht="15" thickBot="1" x14ac:dyDescent="0.4">
      <c r="A27" s="252" t="s">
        <v>54</v>
      </c>
      <c r="B27" s="359" t="s">
        <v>51</v>
      </c>
      <c r="C27" s="167">
        <f t="shared" ref="C27:E27" si="2">((C26-B26)/B26)*100%</f>
        <v>-3.913894324853319E-3</v>
      </c>
      <c r="D27" s="167">
        <f t="shared" si="2"/>
        <v>0.11787819253438125</v>
      </c>
      <c r="E27" s="167">
        <f t="shared" si="2"/>
        <v>0.14762741652021086</v>
      </c>
      <c r="F27" s="167">
        <f>((F26-E26)/E26)*100%</f>
        <v>0.15467075038284836</v>
      </c>
      <c r="G27" s="361"/>
      <c r="H27" s="250"/>
      <c r="I27" s="219"/>
      <c r="J27" s="219"/>
      <c r="K27" s="219"/>
      <c r="L27" s="219"/>
      <c r="M27" s="219"/>
      <c r="N27" s="219"/>
    </row>
    <row r="28" spans="1:14" x14ac:dyDescent="0.35">
      <c r="A28" s="21"/>
    </row>
    <row r="29" spans="1:14" ht="15" thickBot="1" x14ac:dyDescent="0.4">
      <c r="A29" s="27" t="s">
        <v>256</v>
      </c>
    </row>
    <row r="30" spans="1:14" x14ac:dyDescent="0.35">
      <c r="A30" s="111" t="s">
        <v>56</v>
      </c>
      <c r="B30" s="784" t="s">
        <v>33</v>
      </c>
      <c r="C30" s="785"/>
      <c r="D30" s="785"/>
      <c r="E30" s="785"/>
      <c r="F30" s="785"/>
      <c r="G30" s="779" t="s">
        <v>48</v>
      </c>
      <c r="I30" s="43" t="s">
        <v>175</v>
      </c>
      <c r="J30" s="44"/>
      <c r="K30" s="15"/>
    </row>
    <row r="31" spans="1:14" ht="15" thickBot="1" x14ac:dyDescent="0.4">
      <c r="A31" s="153"/>
      <c r="B31" s="100">
        <v>2014</v>
      </c>
      <c r="C31" s="101">
        <v>2015</v>
      </c>
      <c r="D31" s="101">
        <v>2016</v>
      </c>
      <c r="E31" s="101">
        <v>2017</v>
      </c>
      <c r="F31" s="101">
        <v>2018</v>
      </c>
      <c r="G31" s="780"/>
      <c r="I31" s="45" t="s">
        <v>33</v>
      </c>
      <c r="J31" s="45" t="s">
        <v>99</v>
      </c>
      <c r="K31" s="45" t="s">
        <v>100</v>
      </c>
    </row>
    <row r="32" spans="1:14" x14ac:dyDescent="0.35">
      <c r="A32" s="130" t="s">
        <v>30</v>
      </c>
      <c r="B32" s="20"/>
      <c r="C32" s="129"/>
      <c r="D32" s="129"/>
      <c r="E32" s="129"/>
      <c r="F32" s="129"/>
      <c r="G32" s="170"/>
      <c r="I32" s="54">
        <v>2014</v>
      </c>
      <c r="J32" s="54">
        <v>236.73599999999999</v>
      </c>
      <c r="K32" s="55">
        <f>$J$36/J32</f>
        <v>1.060704751284131</v>
      </c>
      <c r="L32" s="638">
        <v>1.060704751284131</v>
      </c>
    </row>
    <row r="33" spans="1:19" x14ac:dyDescent="0.35">
      <c r="A33" s="169" t="s">
        <v>31</v>
      </c>
      <c r="B33" s="382">
        <v>18169.3</v>
      </c>
      <c r="C33" s="383">
        <v>16488.3</v>
      </c>
      <c r="D33" s="383">
        <v>15295</v>
      </c>
      <c r="E33" s="383">
        <v>12718.9</v>
      </c>
      <c r="F33" s="383">
        <v>10012.700000000001</v>
      </c>
      <c r="G33" s="518">
        <f>(((F33/B33)^(0.2))-1)*100%</f>
        <v>-0.11234827445143414</v>
      </c>
      <c r="I33" s="52">
        <v>2015</v>
      </c>
      <c r="J33" s="52">
        <v>237.017</v>
      </c>
      <c r="K33" s="53">
        <f>$J$36/J33</f>
        <v>1.0594472126471941</v>
      </c>
      <c r="L33" s="638">
        <v>1.0594472126471941</v>
      </c>
    </row>
    <row r="34" spans="1:19" x14ac:dyDescent="0.35">
      <c r="A34" s="169" t="s">
        <v>32</v>
      </c>
      <c r="B34" s="382">
        <v>9272</v>
      </c>
      <c r="C34" s="383">
        <v>8924.7000000000007</v>
      </c>
      <c r="D34" s="383">
        <v>9326.9</v>
      </c>
      <c r="E34" s="383">
        <v>10101.5</v>
      </c>
      <c r="F34" s="383">
        <v>11012.5</v>
      </c>
      <c r="G34" s="518">
        <f>(((F34/B34)^(0.2))-1)*100%</f>
        <v>3.5005123601786092E-2</v>
      </c>
      <c r="I34" s="36">
        <v>2016</v>
      </c>
      <c r="J34" s="36">
        <v>240.00700000000001</v>
      </c>
      <c r="K34" s="51">
        <f>$J$36/J34</f>
        <v>1.0462486510810101</v>
      </c>
      <c r="L34" s="638">
        <v>1.0462486510810101</v>
      </c>
    </row>
    <row r="35" spans="1:19" x14ac:dyDescent="0.35">
      <c r="A35" s="133" t="s">
        <v>34</v>
      </c>
      <c r="B35" s="384">
        <f>SUM(B33:B34)</f>
        <v>27441.3</v>
      </c>
      <c r="C35" s="385">
        <f>SUM(C33:C34)</f>
        <v>25413</v>
      </c>
      <c r="D35" s="385">
        <f>SUM(D33:D34)</f>
        <v>24621.9</v>
      </c>
      <c r="E35" s="385">
        <f>SUM(E33:E34)</f>
        <v>22820.400000000001</v>
      </c>
      <c r="F35" s="385">
        <f>SUM(F33:F34)</f>
        <v>21025.200000000001</v>
      </c>
      <c r="G35" s="519">
        <f>(((F35/B35)^(0.2))-1)*100%</f>
        <v>-5.1871741314025499E-2</v>
      </c>
      <c r="I35" s="49">
        <v>2017</v>
      </c>
      <c r="J35" s="50">
        <v>245.12</v>
      </c>
      <c r="K35" s="50">
        <f>$J$36/J35</f>
        <v>1.02442477154047</v>
      </c>
      <c r="L35" s="638">
        <v>1.02442477154047</v>
      </c>
    </row>
    <row r="36" spans="1:19" x14ac:dyDescent="0.35">
      <c r="A36" s="154" t="s">
        <v>52</v>
      </c>
      <c r="B36" s="239" t="s">
        <v>51</v>
      </c>
      <c r="C36" s="513">
        <f t="shared" ref="C36:E36" si="3">((C35-B35)/B35)*100%</f>
        <v>-7.391413672092792E-2</v>
      </c>
      <c r="D36" s="513">
        <f t="shared" si="3"/>
        <v>-3.1129736748907982E-2</v>
      </c>
      <c r="E36" s="513">
        <f t="shared" si="3"/>
        <v>-7.3166571223179364E-2</v>
      </c>
      <c r="F36" s="513">
        <f>((F35-E35)/E35)*100%</f>
        <v>-7.866645632854817E-2</v>
      </c>
      <c r="G36" s="516"/>
      <c r="I36" s="47">
        <v>2018</v>
      </c>
      <c r="J36" s="47">
        <v>251.107</v>
      </c>
      <c r="K36" s="48">
        <f>$J$36/J36</f>
        <v>1</v>
      </c>
      <c r="L36" s="638">
        <v>1</v>
      </c>
    </row>
    <row r="37" spans="1:19" x14ac:dyDescent="0.35">
      <c r="A37" s="133" t="s">
        <v>36</v>
      </c>
      <c r="B37" s="362"/>
      <c r="C37" s="257"/>
      <c r="D37" s="257"/>
      <c r="E37" s="257"/>
      <c r="F37" s="257"/>
      <c r="G37" s="520"/>
      <c r="S37" s="46"/>
    </row>
    <row r="38" spans="1:19" x14ac:dyDescent="0.35">
      <c r="A38" s="103" t="s">
        <v>37</v>
      </c>
      <c r="B38" s="382">
        <v>15288</v>
      </c>
      <c r="C38" s="383">
        <v>13977</v>
      </c>
      <c r="D38" s="383">
        <f>4896.9+4134.2+3667.7</f>
        <v>12698.8</v>
      </c>
      <c r="E38" s="383">
        <f>4033.5+3528.5+2847.6</f>
        <v>10409.6</v>
      </c>
      <c r="F38" s="383">
        <v>8266</v>
      </c>
      <c r="G38" s="518">
        <f>(((F38/B38)^(0.2))-1)*100%</f>
        <v>-0.11572174534986923</v>
      </c>
      <c r="I38" s="27" t="s">
        <v>177</v>
      </c>
      <c r="J38" s="27"/>
      <c r="K38" s="27"/>
      <c r="L38" s="27"/>
      <c r="S38" s="46"/>
    </row>
    <row r="39" spans="1:19" x14ac:dyDescent="0.35">
      <c r="A39" s="103" t="s">
        <v>38</v>
      </c>
      <c r="B39" s="382">
        <v>1697</v>
      </c>
      <c r="C39" s="383">
        <v>1647</v>
      </c>
      <c r="D39" s="383">
        <v>1718.4</v>
      </c>
      <c r="E39" s="383">
        <v>1790</v>
      </c>
      <c r="F39" s="383">
        <v>1973</v>
      </c>
      <c r="G39" s="518">
        <f t="shared" ref="G39:G41" si="4">(((F39/B39)^(0.2))-1)*100%</f>
        <v>3.0597414481052354E-2</v>
      </c>
      <c r="I39" s="786" t="s">
        <v>176</v>
      </c>
      <c r="J39" s="786"/>
      <c r="K39" s="786"/>
      <c r="L39" s="786"/>
      <c r="M39" s="786"/>
      <c r="N39" s="786"/>
      <c r="O39" s="786"/>
      <c r="P39" s="9"/>
      <c r="S39" s="46"/>
    </row>
    <row r="40" spans="1:19" x14ac:dyDescent="0.35">
      <c r="A40" s="103" t="s">
        <v>39</v>
      </c>
      <c r="B40" s="382">
        <v>2488</v>
      </c>
      <c r="C40" s="383">
        <v>2434</v>
      </c>
      <c r="D40" s="383">
        <v>2384.5</v>
      </c>
      <c r="E40" s="383">
        <v>2231.3000000000002</v>
      </c>
      <c r="F40" s="383">
        <v>2200</v>
      </c>
      <c r="G40" s="518">
        <f t="shared" si="4"/>
        <v>-2.4304142846870991E-2</v>
      </c>
      <c r="S40" s="46"/>
    </row>
    <row r="41" spans="1:19" x14ac:dyDescent="0.35">
      <c r="A41" s="103" t="s">
        <v>40</v>
      </c>
      <c r="B41" s="382">
        <v>19</v>
      </c>
      <c r="C41" s="383">
        <v>209</v>
      </c>
      <c r="D41" s="383">
        <v>75.7</v>
      </c>
      <c r="E41" s="383">
        <v>-1163.2</v>
      </c>
      <c r="F41" s="383">
        <v>-237</v>
      </c>
      <c r="G41" s="518">
        <f t="shared" si="4"/>
        <v>-2.6565286405295008</v>
      </c>
      <c r="S41" s="46"/>
    </row>
    <row r="42" spans="1:19" x14ac:dyDescent="0.35">
      <c r="A42" s="106" t="s">
        <v>41</v>
      </c>
      <c r="B42" s="365">
        <f>SUM(B38:B41)</f>
        <v>19492</v>
      </c>
      <c r="C42" s="366">
        <f>SUM(C38:C41)</f>
        <v>18267</v>
      </c>
      <c r="D42" s="366">
        <f>SUM(D38:D41)</f>
        <v>16877.399999999998</v>
      </c>
      <c r="E42" s="366">
        <f>SUM(E38:E41)</f>
        <v>13267.7</v>
      </c>
      <c r="F42" s="366">
        <f>SUM(F38:F41)</f>
        <v>12202</v>
      </c>
      <c r="G42" s="515">
        <f>(((F42/B42)^(0.2))-1)*100%</f>
        <v>-8.9426675061571537E-2</v>
      </c>
      <c r="I42" s="34"/>
      <c r="J42" s="34"/>
      <c r="K42" s="34"/>
      <c r="L42" s="34"/>
    </row>
    <row r="43" spans="1:19" x14ac:dyDescent="0.35">
      <c r="A43" s="155" t="s">
        <v>42</v>
      </c>
      <c r="B43" s="370">
        <v>7949</v>
      </c>
      <c r="C43" s="371">
        <v>7146</v>
      </c>
      <c r="D43" s="371">
        <v>7744.5</v>
      </c>
      <c r="E43" s="371">
        <v>9552.7000000000007</v>
      </c>
      <c r="F43" s="371">
        <v>8823</v>
      </c>
      <c r="G43" s="173">
        <f>(((F43/B43)^(0.2))-1)*100%</f>
        <v>2.1082319960181506E-2</v>
      </c>
      <c r="I43" s="34"/>
      <c r="J43" s="34"/>
      <c r="K43" s="34"/>
      <c r="L43" s="34"/>
    </row>
    <row r="44" spans="1:19" x14ac:dyDescent="0.35">
      <c r="A44" s="156" t="s">
        <v>49</v>
      </c>
      <c r="B44" s="151">
        <f>(B43/B35)*100%</f>
        <v>0.28967286535258902</v>
      </c>
      <c r="C44" s="22">
        <f>(C43/C35)*100%</f>
        <v>0.28119466414827055</v>
      </c>
      <c r="D44" s="22">
        <f>(D43/D35)*100%</f>
        <v>0.3145370584723356</v>
      </c>
      <c r="E44" s="22">
        <f>(E43/E35)*100%</f>
        <v>0.41860353017475593</v>
      </c>
      <c r="F44" s="22">
        <f>(F43/F35)*100%</f>
        <v>0.41963928999486327</v>
      </c>
      <c r="G44" s="160" t="s">
        <v>51</v>
      </c>
      <c r="I44" s="35"/>
      <c r="J44" s="34"/>
      <c r="K44" s="74"/>
    </row>
    <row r="45" spans="1:19" x14ac:dyDescent="0.35">
      <c r="A45" s="103" t="s">
        <v>43</v>
      </c>
      <c r="B45" s="382">
        <v>576</v>
      </c>
      <c r="C45" s="383">
        <v>638</v>
      </c>
      <c r="D45" s="383">
        <v>884.8</v>
      </c>
      <c r="E45" s="383">
        <v>921.3</v>
      </c>
      <c r="F45" s="383">
        <v>981</v>
      </c>
      <c r="G45" s="172"/>
      <c r="I45" s="76"/>
      <c r="J45" s="34"/>
      <c r="K45" s="74"/>
    </row>
    <row r="46" spans="1:19" x14ac:dyDescent="0.35">
      <c r="A46" s="103" t="s">
        <v>44</v>
      </c>
      <c r="B46" s="382">
        <v>1</v>
      </c>
      <c r="C46" s="383">
        <v>-48</v>
      </c>
      <c r="D46" s="383">
        <v>-6.3</v>
      </c>
      <c r="E46" s="383">
        <v>57.9</v>
      </c>
      <c r="F46" s="383">
        <v>26</v>
      </c>
      <c r="G46" s="172"/>
      <c r="I46" s="25"/>
      <c r="J46" s="34"/>
      <c r="K46" s="74"/>
    </row>
    <row r="47" spans="1:19" x14ac:dyDescent="0.35">
      <c r="A47" s="133" t="s">
        <v>45</v>
      </c>
      <c r="B47" s="384">
        <f>B43-B45-B46</f>
        <v>7372</v>
      </c>
      <c r="C47" s="385">
        <f>C43-C45-C46</f>
        <v>6556</v>
      </c>
      <c r="D47" s="385">
        <f>D43-D45-D46</f>
        <v>6866</v>
      </c>
      <c r="E47" s="385">
        <f>E43-E45-E46</f>
        <v>8573.5000000000018</v>
      </c>
      <c r="F47" s="385">
        <f>F43-F45-F46</f>
        <v>7816</v>
      </c>
      <c r="G47" s="171"/>
      <c r="I47" s="25"/>
      <c r="J47" s="34"/>
    </row>
    <row r="48" spans="1:19" x14ac:dyDescent="0.35">
      <c r="A48" s="103" t="s">
        <v>46</v>
      </c>
      <c r="B48" s="382">
        <v>2614</v>
      </c>
      <c r="C48" s="383">
        <v>2027</v>
      </c>
      <c r="D48" s="383">
        <v>2179.5</v>
      </c>
      <c r="E48" s="383">
        <v>3381.2</v>
      </c>
      <c r="F48" s="383">
        <v>1892</v>
      </c>
      <c r="G48" s="172"/>
      <c r="H48" s="79"/>
      <c r="I48" s="25"/>
      <c r="J48" s="34"/>
    </row>
    <row r="49" spans="1:10" x14ac:dyDescent="0.35">
      <c r="A49" s="106" t="s">
        <v>47</v>
      </c>
      <c r="B49" s="365">
        <f>B47-B48</f>
        <v>4758</v>
      </c>
      <c r="C49" s="366">
        <f>C47-C48</f>
        <v>4529</v>
      </c>
      <c r="D49" s="366">
        <f>D47-D48</f>
        <v>4686.5</v>
      </c>
      <c r="E49" s="366">
        <v>5192.3</v>
      </c>
      <c r="F49" s="366">
        <f>F47-F48</f>
        <v>5924</v>
      </c>
      <c r="G49" s="163">
        <f>(((F49/B49)^(0.2))-1)*100%</f>
        <v>4.4811928930974743E-2</v>
      </c>
      <c r="I49" s="25"/>
      <c r="J49" s="34"/>
    </row>
    <row r="50" spans="1:10" x14ac:dyDescent="0.35">
      <c r="A50" s="157" t="s">
        <v>50</v>
      </c>
      <c r="B50" s="152">
        <f>(B49/B35)*100%</f>
        <v>0.17338828699806497</v>
      </c>
      <c r="C50" s="23">
        <f>(C49/C35)*100%</f>
        <v>0.17821587376539566</v>
      </c>
      <c r="D50" s="23">
        <f>(D49/D35)*100%</f>
        <v>0.19033868223004721</v>
      </c>
      <c r="E50" s="23">
        <f>(E49/E35)*100%</f>
        <v>0.22752887767085589</v>
      </c>
      <c r="F50" s="23">
        <f>(F49/F35)*100%</f>
        <v>0.28175712953979032</v>
      </c>
      <c r="G50" s="164" t="s">
        <v>51</v>
      </c>
      <c r="I50" s="25"/>
      <c r="J50" s="34"/>
    </row>
    <row r="51" spans="1:10" x14ac:dyDescent="0.35">
      <c r="A51" s="105" t="s">
        <v>53</v>
      </c>
      <c r="B51" s="376">
        <v>4.82</v>
      </c>
      <c r="C51" s="377">
        <v>4.8</v>
      </c>
      <c r="D51" s="377">
        <v>5.44</v>
      </c>
      <c r="E51" s="377">
        <v>6.37</v>
      </c>
      <c r="F51" s="377">
        <v>7.54</v>
      </c>
      <c r="G51" s="165">
        <f>(((F51/B51)^(0.2))-1)*100%</f>
        <v>9.3616015193592306E-2</v>
      </c>
      <c r="I51" s="77"/>
      <c r="J51" s="34"/>
    </row>
    <row r="52" spans="1:10" ht="15" thickBot="1" x14ac:dyDescent="0.4">
      <c r="A52" s="158" t="s">
        <v>54</v>
      </c>
      <c r="B52" s="166" t="s">
        <v>51</v>
      </c>
      <c r="C52" s="521">
        <f t="shared" ref="C52:E52" si="5">((C51-B51)/B51)*100%</f>
        <v>-4.1493775933610913E-3</v>
      </c>
      <c r="D52" s="167">
        <f t="shared" si="5"/>
        <v>0.13333333333333347</v>
      </c>
      <c r="E52" s="167">
        <f t="shared" si="5"/>
        <v>0.17095588235294112</v>
      </c>
      <c r="F52" s="167">
        <f>((F51-E51)/E51)*100%</f>
        <v>0.18367346938775508</v>
      </c>
      <c r="G52" s="168"/>
      <c r="I52" s="77"/>
      <c r="J52" s="34"/>
    </row>
    <row r="53" spans="1:10" x14ac:dyDescent="0.35">
      <c r="A53" s="27"/>
      <c r="I53" s="78"/>
      <c r="J53" s="34"/>
    </row>
    <row r="54" spans="1:10" x14ac:dyDescent="0.35">
      <c r="A54" s="9" t="s">
        <v>98</v>
      </c>
      <c r="I54" s="25"/>
      <c r="J54" s="34"/>
    </row>
    <row r="55" spans="1:10" x14ac:dyDescent="0.35">
      <c r="A55" s="31"/>
      <c r="I55" s="25"/>
      <c r="J55" s="34"/>
    </row>
    <row r="56" spans="1:10" x14ac:dyDescent="0.35">
      <c r="D56" s="26"/>
      <c r="I56" s="77"/>
      <c r="J56" s="34"/>
    </row>
    <row r="57" spans="1:10" x14ac:dyDescent="0.35">
      <c r="A57" s="31"/>
      <c r="I57" s="25"/>
      <c r="J57" s="34"/>
    </row>
    <row r="58" spans="1:10" x14ac:dyDescent="0.35">
      <c r="A58" s="27"/>
      <c r="I58" s="35"/>
      <c r="J58" s="34"/>
    </row>
    <row r="59" spans="1:10" x14ac:dyDescent="0.35">
      <c r="A59" s="31"/>
      <c r="J59" s="34"/>
    </row>
    <row r="60" spans="1:10" x14ac:dyDescent="0.35">
      <c r="A60" s="27"/>
      <c r="J60" s="26"/>
    </row>
    <row r="62" spans="1:10" x14ac:dyDescent="0.35">
      <c r="D62" s="25"/>
    </row>
  </sheetData>
  <sortState xmlns:xlrd2="http://schemas.microsoft.com/office/spreadsheetml/2017/richdata2" columnSort="1" ref="B31:F52">
    <sortCondition ref="B31:F31"/>
  </sortState>
  <mergeCells count="7">
    <mergeCell ref="G30:G31"/>
    <mergeCell ref="B5:F5"/>
    <mergeCell ref="A1:N1"/>
    <mergeCell ref="B30:F30"/>
    <mergeCell ref="I39:O39"/>
    <mergeCell ref="A5:A6"/>
    <mergeCell ref="I5:I6"/>
  </mergeCells>
  <hyperlinks>
    <hyperlink ref="A2" location="Home!A1" display="Go to Home" xr:uid="{7913DDE4-453A-49E9-AFF5-F1904E2009F9}"/>
    <hyperlink ref="I39" r:id="rId1" xr:uid="{8C563FE2-A9A1-4B82-9042-C542DD9D1139}"/>
    <hyperlink ref="A54" location="References!A1" display="Go to References" xr:uid="{F5FD9408-C204-4F4A-B8C6-B84F8FADB5B0}"/>
  </hyperlinks>
  <pageMargins left="0.7" right="0.7" top="0.75" bottom="0.75" header="0.3" footer="0.3"/>
  <pageSetup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9FF5-EDFE-45FA-BD16-3BC5D4C4CBA4}">
  <dimension ref="A1:T119"/>
  <sheetViews>
    <sheetView topLeftCell="A106" zoomScale="80" zoomScaleNormal="80" workbookViewId="0">
      <selection activeCell="B66" sqref="B66"/>
    </sheetView>
  </sheetViews>
  <sheetFormatPr defaultRowHeight="14.5" x14ac:dyDescent="0.35"/>
  <cols>
    <col min="1" max="1" width="45.7265625" bestFit="1" customWidth="1"/>
    <col min="2" max="6" width="12.6328125" customWidth="1"/>
    <col min="8" max="8" width="22.08984375" bestFit="1" customWidth="1"/>
    <col min="10" max="10" width="11" customWidth="1"/>
    <col min="11" max="11" width="12.08984375" bestFit="1" customWidth="1"/>
    <col min="12" max="12" width="10.54296875" bestFit="1" customWidth="1"/>
    <col min="13" max="13" width="9.90625" bestFit="1" customWidth="1"/>
    <col min="15" max="18" width="11" bestFit="1" customWidth="1"/>
    <col min="19" max="19" width="10.7265625" bestFit="1" customWidth="1"/>
    <col min="20" max="20" width="10.6328125" bestFit="1" customWidth="1"/>
  </cols>
  <sheetData>
    <row r="1" spans="1:20" ht="20" thickBot="1" x14ac:dyDescent="0.5">
      <c r="A1" s="783" t="s">
        <v>57</v>
      </c>
      <c r="B1" s="783"/>
      <c r="C1" s="783"/>
      <c r="D1" s="783"/>
      <c r="E1" s="783"/>
      <c r="F1" s="783"/>
      <c r="G1" s="783"/>
      <c r="H1" s="783"/>
      <c r="I1" s="783"/>
      <c r="J1" s="783"/>
      <c r="K1" s="783"/>
      <c r="L1" s="783"/>
      <c r="M1" s="783"/>
      <c r="N1" s="219"/>
    </row>
    <row r="2" spans="1:20" ht="15" thickTop="1" x14ac:dyDescent="0.35">
      <c r="A2" s="218" t="s">
        <v>35</v>
      </c>
      <c r="B2" s="219"/>
      <c r="C2" s="219"/>
      <c r="D2" s="219"/>
      <c r="E2" s="219"/>
      <c r="F2" s="219"/>
      <c r="G2" s="219"/>
      <c r="H2" s="219"/>
      <c r="I2" s="219"/>
      <c r="J2" s="219"/>
      <c r="K2" s="219"/>
      <c r="L2" s="219"/>
      <c r="M2" s="219"/>
      <c r="N2" s="219"/>
    </row>
    <row r="3" spans="1:20" x14ac:dyDescent="0.35">
      <c r="A3" s="220" t="s">
        <v>328</v>
      </c>
      <c r="B3" s="220"/>
      <c r="C3" s="219"/>
      <c r="D3" s="219"/>
      <c r="E3" s="219"/>
      <c r="F3" s="219"/>
      <c r="G3" s="219"/>
      <c r="H3" s="219"/>
      <c r="I3" s="219"/>
      <c r="J3" s="219"/>
      <c r="K3" s="219"/>
      <c r="L3" s="219"/>
      <c r="M3" s="219"/>
      <c r="N3" s="219"/>
    </row>
    <row r="4" spans="1:20" ht="15" thickBot="1" x14ac:dyDescent="0.4">
      <c r="A4" s="220" t="s">
        <v>257</v>
      </c>
      <c r="B4" s="220"/>
      <c r="C4" s="219"/>
      <c r="D4" s="219"/>
      <c r="E4" s="219"/>
      <c r="F4" s="219"/>
      <c r="G4" s="219"/>
      <c r="H4" s="219"/>
      <c r="I4" s="219"/>
      <c r="J4" s="219"/>
      <c r="K4" s="219"/>
      <c r="L4" s="219"/>
      <c r="M4" s="219"/>
      <c r="N4" s="219"/>
    </row>
    <row r="5" spans="1:20" x14ac:dyDescent="0.35">
      <c r="A5" s="787" t="s">
        <v>56</v>
      </c>
      <c r="B5" s="782" t="s">
        <v>33</v>
      </c>
      <c r="C5" s="791"/>
      <c r="D5" s="791"/>
      <c r="E5" s="791"/>
      <c r="F5" s="792"/>
      <c r="G5" s="219"/>
      <c r="H5" s="795" t="s">
        <v>56</v>
      </c>
      <c r="I5" s="343" t="s">
        <v>101</v>
      </c>
      <c r="J5" s="343"/>
      <c r="K5" s="343"/>
      <c r="L5" s="343"/>
      <c r="M5" s="344"/>
      <c r="N5" s="219"/>
    </row>
    <row r="6" spans="1:20" ht="15" thickBot="1" x14ac:dyDescent="0.4">
      <c r="A6" s="788"/>
      <c r="B6" s="378">
        <v>2014</v>
      </c>
      <c r="C6" s="379">
        <v>2015</v>
      </c>
      <c r="D6" s="379">
        <v>2016</v>
      </c>
      <c r="E6" s="379">
        <v>2017</v>
      </c>
      <c r="F6" s="386">
        <v>2018</v>
      </c>
      <c r="G6" s="219"/>
      <c r="H6" s="796"/>
      <c r="I6" s="457">
        <v>2014</v>
      </c>
      <c r="J6" s="457">
        <v>2015</v>
      </c>
      <c r="K6" s="457">
        <v>2016</v>
      </c>
      <c r="L6" s="457">
        <v>2017</v>
      </c>
      <c r="M6" s="458">
        <v>2018</v>
      </c>
      <c r="N6" s="639">
        <v>1</v>
      </c>
    </row>
    <row r="7" spans="1:20" x14ac:dyDescent="0.35">
      <c r="A7" s="345" t="s">
        <v>75</v>
      </c>
      <c r="B7" s="346"/>
      <c r="C7" s="347"/>
      <c r="D7" s="347"/>
      <c r="E7" s="347"/>
      <c r="F7" s="667"/>
      <c r="G7" s="219"/>
      <c r="H7" s="348" t="s">
        <v>105</v>
      </c>
      <c r="I7" s="387">
        <f>B56</f>
        <v>0.1389727520144568</v>
      </c>
      <c r="J7" s="387">
        <f>C56</f>
        <v>0.11942719659988713</v>
      </c>
      <c r="K7" s="387">
        <f>D56</f>
        <v>0.15109686585773238</v>
      </c>
      <c r="L7" s="387">
        <f>E56</f>
        <v>0.15366524519197836</v>
      </c>
      <c r="M7" s="388">
        <f>F56</f>
        <v>0.18055724874433124</v>
      </c>
      <c r="N7" s="639">
        <v>1.024</v>
      </c>
    </row>
    <row r="8" spans="1:20" x14ac:dyDescent="0.35">
      <c r="A8" s="349" t="s">
        <v>59</v>
      </c>
      <c r="B8" s="299"/>
      <c r="C8" s="259"/>
      <c r="D8" s="259"/>
      <c r="E8" s="259"/>
      <c r="F8" s="668"/>
      <c r="G8" s="219"/>
      <c r="H8" s="331" t="s">
        <v>106</v>
      </c>
      <c r="I8" s="38">
        <v>0.49672484617587082</v>
      </c>
      <c r="J8" s="38">
        <v>0.69048491382150667</v>
      </c>
      <c r="K8" s="38">
        <v>0.90068624512069717</v>
      </c>
      <c r="L8" s="38">
        <v>0.90791244745397692</v>
      </c>
      <c r="M8" s="144">
        <v>0.98050665626371492</v>
      </c>
      <c r="N8" s="639">
        <v>1.046</v>
      </c>
    </row>
    <row r="9" spans="1:20" ht="15" thickBot="1" x14ac:dyDescent="0.4">
      <c r="A9" s="298" t="s">
        <v>60</v>
      </c>
      <c r="B9" s="440">
        <v>2204.6518999999998</v>
      </c>
      <c r="C9" s="441">
        <v>8138.9444999999996</v>
      </c>
      <c r="D9" s="441">
        <v>1279.6764000000001</v>
      </c>
      <c r="E9" s="441">
        <v>2522.9312000000004</v>
      </c>
      <c r="F9" s="669">
        <v>866</v>
      </c>
      <c r="G9" s="219"/>
      <c r="H9" s="350" t="s">
        <v>107</v>
      </c>
      <c r="I9" s="389">
        <v>1.5231631427635648</v>
      </c>
      <c r="J9" s="389">
        <v>3.2683703904555323</v>
      </c>
      <c r="K9" s="389">
        <v>1.3979759536372287</v>
      </c>
      <c r="L9" s="389">
        <v>1.8429391821767105</v>
      </c>
      <c r="M9" s="390">
        <v>1.3631074491340172</v>
      </c>
      <c r="N9" s="639">
        <v>1.0589999999999999</v>
      </c>
    </row>
    <row r="10" spans="1:20" x14ac:dyDescent="0.35">
      <c r="A10" s="298" t="s">
        <v>61</v>
      </c>
      <c r="B10" s="440">
        <v>1288.4784</v>
      </c>
      <c r="C10" s="441">
        <v>1375.3233</v>
      </c>
      <c r="D10" s="441">
        <v>1541.9086</v>
      </c>
      <c r="E10" s="441">
        <v>2023.6288000000002</v>
      </c>
      <c r="F10" s="669">
        <v>2441.5</v>
      </c>
      <c r="G10" s="219"/>
      <c r="H10" s="219"/>
      <c r="I10" s="219"/>
      <c r="J10" s="219"/>
      <c r="K10" s="219"/>
      <c r="L10" s="219"/>
      <c r="M10" s="219"/>
      <c r="N10" s="639">
        <v>1.0609999999999999</v>
      </c>
    </row>
    <row r="11" spans="1:20" x14ac:dyDescent="0.35">
      <c r="A11" s="298" t="s">
        <v>63</v>
      </c>
      <c r="B11" s="440">
        <v>116.71</v>
      </c>
      <c r="C11" s="441">
        <v>106.00589999999998</v>
      </c>
      <c r="D11" s="441">
        <v>61.609400000000001</v>
      </c>
      <c r="E11" s="441">
        <v>60.211199999999998</v>
      </c>
      <c r="F11" s="669">
        <v>51.1</v>
      </c>
      <c r="G11" s="219"/>
      <c r="H11" s="254"/>
      <c r="I11" s="254"/>
      <c r="J11" s="254"/>
      <c r="K11" s="254"/>
      <c r="L11" s="254"/>
      <c r="M11" s="254"/>
      <c r="N11" s="219"/>
      <c r="T11" s="26"/>
    </row>
    <row r="12" spans="1:20" x14ac:dyDescent="0.35">
      <c r="A12" s="298" t="s">
        <v>62</v>
      </c>
      <c r="B12" s="440">
        <v>830.97519999999997</v>
      </c>
      <c r="C12" s="441">
        <v>591.66330000000005</v>
      </c>
      <c r="D12" s="441">
        <v>591.19920000000002</v>
      </c>
      <c r="E12" s="441">
        <v>848.28160000000003</v>
      </c>
      <c r="F12" s="669">
        <v>694.6</v>
      </c>
      <c r="G12" s="219"/>
      <c r="H12" s="219"/>
      <c r="I12" s="219"/>
      <c r="J12" s="219"/>
      <c r="K12" s="219"/>
      <c r="L12" s="219"/>
      <c r="M12" s="219"/>
      <c r="N12" s="219"/>
    </row>
    <row r="13" spans="1:20" x14ac:dyDescent="0.35">
      <c r="A13" s="298" t="s">
        <v>102</v>
      </c>
      <c r="B13" s="442" t="s">
        <v>51</v>
      </c>
      <c r="C13" s="443" t="s">
        <v>51</v>
      </c>
      <c r="D13" s="441">
        <v>1597.242</v>
      </c>
      <c r="E13" s="443" t="s">
        <v>51</v>
      </c>
      <c r="F13" s="669"/>
      <c r="G13" s="219"/>
      <c r="H13" s="219"/>
      <c r="I13" s="219"/>
      <c r="J13" s="219"/>
      <c r="K13" s="219"/>
      <c r="L13" s="219"/>
      <c r="M13" s="219"/>
      <c r="N13" s="219"/>
    </row>
    <row r="14" spans="1:20" x14ac:dyDescent="0.35">
      <c r="A14" s="351" t="s">
        <v>64</v>
      </c>
      <c r="B14" s="444">
        <f>SUM(B9:B13)</f>
        <v>4440.8154999999997</v>
      </c>
      <c r="C14" s="429">
        <f>SUM(C9:C13)</f>
        <v>10211.937</v>
      </c>
      <c r="D14" s="429">
        <f>SUM(D9:D13)</f>
        <v>5071.6355999999996</v>
      </c>
      <c r="E14" s="429">
        <f>SUM(E9:E13)</f>
        <v>5455.0528000000004</v>
      </c>
      <c r="F14" s="430">
        <f>SUM(F9:F13)</f>
        <v>4053.2</v>
      </c>
      <c r="G14" s="219"/>
      <c r="H14" s="219"/>
      <c r="I14" s="219"/>
      <c r="J14" s="219"/>
      <c r="K14" s="219"/>
      <c r="L14" s="219"/>
      <c r="M14" s="219"/>
      <c r="N14" s="219"/>
    </row>
    <row r="15" spans="1:20" x14ac:dyDescent="0.35">
      <c r="A15" s="247"/>
      <c r="B15" s="372"/>
      <c r="C15" s="373"/>
      <c r="D15" s="373"/>
      <c r="E15" s="373"/>
      <c r="F15" s="456"/>
      <c r="G15" s="219"/>
      <c r="H15" s="219"/>
      <c r="I15" s="219"/>
      <c r="J15" s="219"/>
      <c r="K15" s="219"/>
      <c r="L15" s="219"/>
      <c r="M15" s="219"/>
      <c r="N15" s="219"/>
      <c r="P15" s="26"/>
    </row>
    <row r="16" spans="1:20" x14ac:dyDescent="0.35">
      <c r="A16" s="352" t="s">
        <v>65</v>
      </c>
      <c r="B16" s="445"/>
      <c r="C16" s="446"/>
      <c r="D16" s="446"/>
      <c r="E16" s="446"/>
      <c r="F16" s="475"/>
      <c r="G16" s="219"/>
      <c r="H16" s="219"/>
      <c r="I16" s="219"/>
      <c r="J16" s="219"/>
      <c r="K16" s="219"/>
      <c r="L16" s="219"/>
      <c r="M16" s="219"/>
      <c r="N16" s="219"/>
    </row>
    <row r="17" spans="1:14" x14ac:dyDescent="0.35">
      <c r="A17" s="353" t="s">
        <v>66</v>
      </c>
      <c r="B17" s="445">
        <v>1065.7745</v>
      </c>
      <c r="C17" s="446">
        <v>839.46929999999998</v>
      </c>
      <c r="D17" s="446">
        <v>759.29139999999995</v>
      </c>
      <c r="E17" s="446">
        <v>1111.7568000000001</v>
      </c>
      <c r="F17" s="475">
        <v>1202.8</v>
      </c>
      <c r="G17" s="219"/>
      <c r="H17" s="219"/>
      <c r="I17" s="219"/>
      <c r="J17" s="219"/>
      <c r="K17" s="219"/>
      <c r="L17" s="219"/>
      <c r="M17" s="219"/>
      <c r="N17" s="219"/>
    </row>
    <row r="18" spans="1:14" x14ac:dyDescent="0.35">
      <c r="A18" s="353" t="s">
        <v>67</v>
      </c>
      <c r="B18" s="445">
        <v>2902.1532999999999</v>
      </c>
      <c r="C18" s="446">
        <v>2664.7617</v>
      </c>
      <c r="D18" s="446">
        <v>2443.9790000000003</v>
      </c>
      <c r="E18" s="446">
        <v>2436.8127999999997</v>
      </c>
      <c r="F18" s="475">
        <v>2331.5</v>
      </c>
      <c r="G18" s="219"/>
      <c r="H18" s="219"/>
      <c r="I18" s="219"/>
      <c r="J18" s="219"/>
      <c r="K18" s="219"/>
      <c r="L18" s="219"/>
      <c r="M18" s="219"/>
      <c r="N18" s="219"/>
    </row>
    <row r="19" spans="1:14" x14ac:dyDescent="0.35">
      <c r="A19" s="353" t="s">
        <v>68</v>
      </c>
      <c r="B19" s="445">
        <v>1851.0205999999998</v>
      </c>
      <c r="C19" s="446">
        <v>1979.3768999999998</v>
      </c>
      <c r="D19" s="446">
        <v>1940.6438000000001</v>
      </c>
      <c r="E19" s="446">
        <v>2624.3072000000002</v>
      </c>
      <c r="F19" s="475">
        <v>2381</v>
      </c>
      <c r="G19" s="219"/>
      <c r="H19" s="219"/>
      <c r="I19" s="219"/>
      <c r="J19" s="219"/>
      <c r="K19" s="219"/>
      <c r="L19" s="219"/>
      <c r="M19" s="219"/>
      <c r="N19" s="219"/>
    </row>
    <row r="20" spans="1:14" x14ac:dyDescent="0.35">
      <c r="A20" s="354" t="s">
        <v>69</v>
      </c>
      <c r="B20" s="447">
        <f>SUM(B17:B19)</f>
        <v>5818.9483999999993</v>
      </c>
      <c r="C20" s="432">
        <f>SUM(C17:C19)</f>
        <v>5483.6078999999991</v>
      </c>
      <c r="D20" s="432">
        <f>SUM(D17:D19)</f>
        <v>5143.9142000000002</v>
      </c>
      <c r="E20" s="432">
        <f>SUM(E17:E19)</f>
        <v>6172.8768</v>
      </c>
      <c r="F20" s="433">
        <f>SUM(F17:F19)</f>
        <v>5915.3</v>
      </c>
      <c r="G20" s="219"/>
      <c r="H20" s="219"/>
      <c r="I20" s="219"/>
      <c r="J20" s="219"/>
      <c r="K20" s="219"/>
      <c r="L20" s="219"/>
      <c r="M20" s="219"/>
      <c r="N20" s="219"/>
    </row>
    <row r="21" spans="1:14" x14ac:dyDescent="0.35">
      <c r="A21" s="247"/>
      <c r="B21" s="372"/>
      <c r="C21" s="373"/>
      <c r="D21" s="373"/>
      <c r="E21" s="373"/>
      <c r="F21" s="456"/>
      <c r="G21" s="219"/>
      <c r="H21" s="219"/>
      <c r="I21" s="219"/>
      <c r="J21" s="219"/>
      <c r="K21" s="219"/>
      <c r="L21" s="219"/>
      <c r="M21" s="219"/>
      <c r="N21" s="219"/>
    </row>
    <row r="22" spans="1:14" x14ac:dyDescent="0.35">
      <c r="A22" s="355" t="s">
        <v>70</v>
      </c>
      <c r="B22" s="448"/>
      <c r="C22" s="449"/>
      <c r="D22" s="449"/>
      <c r="E22" s="449"/>
      <c r="F22" s="670"/>
      <c r="G22" s="219"/>
      <c r="H22" s="219"/>
      <c r="I22" s="219"/>
      <c r="J22" s="219"/>
      <c r="K22" s="219"/>
      <c r="L22" s="219"/>
      <c r="M22" s="219"/>
      <c r="N22" s="219"/>
    </row>
    <row r="23" spans="1:14" ht="15" thickBot="1" x14ac:dyDescent="0.4">
      <c r="A23" s="356" t="s">
        <v>71</v>
      </c>
      <c r="B23" s="450">
        <v>41512.792099999999</v>
      </c>
      <c r="C23" s="451">
        <v>39916.251599999996</v>
      </c>
      <c r="D23" s="451">
        <v>36027.796400000007</v>
      </c>
      <c r="E23" s="451">
        <v>37505.433600000004</v>
      </c>
      <c r="F23" s="671">
        <v>37193.599999999999</v>
      </c>
      <c r="G23" s="219"/>
      <c r="H23" s="219"/>
      <c r="I23" s="219"/>
      <c r="J23" s="219"/>
      <c r="K23" s="219"/>
      <c r="L23" s="219"/>
      <c r="M23" s="219"/>
      <c r="N23" s="219"/>
    </row>
    <row r="24" spans="1:14" x14ac:dyDescent="0.35">
      <c r="A24" s="356" t="s">
        <v>72</v>
      </c>
      <c r="B24" s="452">
        <v>-15457.284599999999</v>
      </c>
      <c r="C24" s="453">
        <v>-15434.713199999998</v>
      </c>
      <c r="D24" s="453">
        <v>-13792.346799999999</v>
      </c>
      <c r="E24" s="453">
        <v>-14518.374400000001</v>
      </c>
      <c r="F24" s="454">
        <v>-14350.9</v>
      </c>
      <c r="G24" s="219"/>
      <c r="H24" s="219"/>
      <c r="I24" s="219"/>
      <c r="J24" s="219"/>
      <c r="K24" s="219"/>
      <c r="L24" s="219"/>
      <c r="M24" s="219"/>
      <c r="N24" s="219"/>
    </row>
    <row r="25" spans="1:14" x14ac:dyDescent="0.35">
      <c r="A25" s="357" t="s">
        <v>73</v>
      </c>
      <c r="B25" s="434">
        <v>26055.5075</v>
      </c>
      <c r="C25" s="435">
        <v>24481.538400000001</v>
      </c>
      <c r="D25" s="435">
        <v>22235.449600000004</v>
      </c>
      <c r="E25" s="435">
        <f>SUM(E23:E24)</f>
        <v>22987.059200000003</v>
      </c>
      <c r="F25" s="436">
        <f>SUM(F23:F24)</f>
        <v>22842.699999999997</v>
      </c>
      <c r="G25" s="219"/>
      <c r="H25" s="219"/>
      <c r="I25" s="219"/>
      <c r="J25" s="219"/>
      <c r="K25" s="219"/>
      <c r="L25" s="219"/>
      <c r="M25" s="219"/>
      <c r="N25" s="219"/>
    </row>
    <row r="26" spans="1:14" x14ac:dyDescent="0.35">
      <c r="A26" s="247"/>
      <c r="B26" s="455"/>
      <c r="C26" s="373"/>
      <c r="D26" s="373"/>
      <c r="E26" s="373"/>
      <c r="F26" s="456"/>
      <c r="G26" s="219"/>
      <c r="H26" s="219"/>
      <c r="I26" s="219"/>
      <c r="J26" s="219"/>
      <c r="K26" s="219"/>
      <c r="L26" s="219"/>
      <c r="M26" s="219"/>
      <c r="N26" s="219"/>
    </row>
    <row r="27" spans="1:14" x14ac:dyDescent="0.35">
      <c r="A27" s="358" t="s">
        <v>74</v>
      </c>
      <c r="B27" s="419">
        <f>SUM(B25,B20,B14)</f>
        <v>36315.271399999998</v>
      </c>
      <c r="C27" s="366">
        <f>SUM(C25,C20,C14)</f>
        <v>40177.083299999998</v>
      </c>
      <c r="D27" s="366">
        <f>SUM(D25,D20,D14)</f>
        <v>32450.999400000001</v>
      </c>
      <c r="E27" s="366">
        <f>SUM(E25,E20,E14)</f>
        <v>34614.988799999999</v>
      </c>
      <c r="F27" s="420">
        <f>SUM(F25,F20,F14)</f>
        <v>32811.199999999997</v>
      </c>
      <c r="G27" s="219"/>
      <c r="H27" s="219"/>
      <c r="I27" s="219"/>
      <c r="J27" s="219"/>
      <c r="K27" s="219"/>
      <c r="L27" s="219"/>
      <c r="M27" s="219"/>
      <c r="N27" s="219"/>
    </row>
    <row r="28" spans="1:14" x14ac:dyDescent="0.35">
      <c r="A28" s="114"/>
      <c r="B28" s="136"/>
      <c r="C28" s="12"/>
      <c r="D28" s="12"/>
      <c r="E28" s="12"/>
      <c r="F28" s="137"/>
    </row>
    <row r="29" spans="1:14" x14ac:dyDescent="0.35">
      <c r="A29" s="89" t="s">
        <v>76</v>
      </c>
      <c r="B29" s="182"/>
      <c r="C29" s="13"/>
      <c r="D29" s="13"/>
      <c r="E29" s="13"/>
      <c r="F29" s="183"/>
    </row>
    <row r="30" spans="1:14" x14ac:dyDescent="0.35">
      <c r="A30" s="109" t="s">
        <v>77</v>
      </c>
      <c r="B30" s="182"/>
      <c r="C30" s="13"/>
      <c r="D30" s="13"/>
      <c r="E30" s="13"/>
      <c r="F30" s="183"/>
    </row>
    <row r="31" spans="1:14" x14ac:dyDescent="0.35">
      <c r="A31" s="95" t="s">
        <v>78</v>
      </c>
      <c r="B31" s="391">
        <v>912.56610000000001</v>
      </c>
      <c r="C31" s="392">
        <v>926.30729999999994</v>
      </c>
      <c r="D31" s="392">
        <v>790.77600000000007</v>
      </c>
      <c r="E31" s="392">
        <v>946.99519999999995</v>
      </c>
      <c r="F31" s="393">
        <v>1207.9000000000001</v>
      </c>
    </row>
    <row r="32" spans="1:14" x14ac:dyDescent="0.35">
      <c r="A32" s="95" t="s">
        <v>79</v>
      </c>
      <c r="B32" s="391">
        <v>176.97480000000002</v>
      </c>
      <c r="C32" s="392">
        <v>163.9332</v>
      </c>
      <c r="D32" s="392">
        <v>279.49119999999999</v>
      </c>
      <c r="E32" s="392">
        <v>272.17920000000004</v>
      </c>
      <c r="F32" s="393">
        <v>228.3</v>
      </c>
    </row>
    <row r="33" spans="1:6" x14ac:dyDescent="0.35">
      <c r="A33" s="95" t="s">
        <v>80</v>
      </c>
      <c r="B33" s="391">
        <v>350.13</v>
      </c>
      <c r="C33" s="392">
        <v>327.23099999999999</v>
      </c>
      <c r="D33" s="392">
        <v>278.5498</v>
      </c>
      <c r="E33" s="392">
        <v>282.00959999999998</v>
      </c>
      <c r="F33" s="393">
        <v>253.7</v>
      </c>
    </row>
    <row r="34" spans="1:6" x14ac:dyDescent="0.35">
      <c r="A34" s="95" t="s">
        <v>81</v>
      </c>
      <c r="B34" s="391">
        <v>247.95569999999998</v>
      </c>
      <c r="C34" s="392">
        <v>246.85289999999998</v>
      </c>
      <c r="D34" s="392">
        <v>258.88499999999999</v>
      </c>
      <c r="E34" s="392">
        <v>285.08159999999998</v>
      </c>
      <c r="F34" s="393">
        <v>297</v>
      </c>
    </row>
    <row r="35" spans="1:6" x14ac:dyDescent="0.35">
      <c r="A35" s="95" t="s">
        <v>82</v>
      </c>
      <c r="B35" s="391">
        <v>1227.8952999999999</v>
      </c>
      <c r="C35" s="392">
        <v>1460.1491999999998</v>
      </c>
      <c r="D35" s="392">
        <v>1212.6278</v>
      </c>
      <c r="E35" s="392">
        <v>1173.7088000000001</v>
      </c>
      <c r="F35" s="393">
        <v>986.6</v>
      </c>
    </row>
    <row r="36" spans="1:6" x14ac:dyDescent="0.35">
      <c r="A36" s="95" t="s">
        <v>103</v>
      </c>
      <c r="B36" s="394" t="s">
        <v>51</v>
      </c>
      <c r="C36" s="395" t="s">
        <v>51</v>
      </c>
      <c r="D36" s="392">
        <v>80.751200000000011</v>
      </c>
      <c r="E36" s="395" t="s">
        <v>51</v>
      </c>
      <c r="F36" s="396" t="s">
        <v>51</v>
      </c>
    </row>
    <row r="37" spans="1:6" x14ac:dyDescent="0.35">
      <c r="A37" s="95" t="s">
        <v>104</v>
      </c>
      <c r="B37" s="394" t="s">
        <v>51</v>
      </c>
      <c r="C37" s="395" t="s">
        <v>51</v>
      </c>
      <c r="D37" s="392">
        <v>726.76080000000002</v>
      </c>
      <c r="E37" s="395" t="s">
        <v>51</v>
      </c>
      <c r="F37" s="396" t="s">
        <v>51</v>
      </c>
    </row>
    <row r="38" spans="1:6" x14ac:dyDescent="0.35">
      <c r="A38" s="89" t="s">
        <v>83</v>
      </c>
      <c r="B38" s="397">
        <f>SUM(B31:B37)</f>
        <v>2915.5218999999997</v>
      </c>
      <c r="C38" s="398">
        <f>SUM(C31:C37)</f>
        <v>3124.4735999999998</v>
      </c>
      <c r="D38" s="398">
        <f>SUM(D31:D37)</f>
        <v>3627.8418000000001</v>
      </c>
      <c r="E38" s="398">
        <f>SUM(E31:E37)</f>
        <v>2959.9744000000001</v>
      </c>
      <c r="F38" s="399">
        <f>SUM(F31:F37)</f>
        <v>2973.5</v>
      </c>
    </row>
    <row r="39" spans="1:6" x14ac:dyDescent="0.35">
      <c r="A39" s="114"/>
      <c r="B39" s="400"/>
      <c r="C39" s="401"/>
      <c r="D39" s="401"/>
      <c r="E39" s="401"/>
      <c r="F39" s="402"/>
    </row>
    <row r="40" spans="1:6" x14ac:dyDescent="0.35">
      <c r="A40" s="120" t="s">
        <v>84</v>
      </c>
      <c r="B40" s="403">
        <v>15846.777700000001</v>
      </c>
      <c r="C40" s="404">
        <v>25545.303899999995</v>
      </c>
      <c r="D40" s="404">
        <v>27068.911</v>
      </c>
      <c r="E40" s="404">
        <v>30245.2736</v>
      </c>
      <c r="F40" s="405">
        <v>31075.3</v>
      </c>
    </row>
    <row r="41" spans="1:6" x14ac:dyDescent="0.35">
      <c r="A41" s="120" t="s">
        <v>85</v>
      </c>
      <c r="B41" s="406" t="s">
        <v>51</v>
      </c>
      <c r="C41" s="407" t="s">
        <v>51</v>
      </c>
      <c r="D41" s="407" t="s">
        <v>51</v>
      </c>
      <c r="E41" s="404">
        <v>2427.8016000000002</v>
      </c>
      <c r="F41" s="405">
        <v>2081.1999999999998</v>
      </c>
    </row>
    <row r="42" spans="1:6" x14ac:dyDescent="0.35">
      <c r="A42" s="120" t="s">
        <v>95</v>
      </c>
      <c r="B42" s="406" t="s">
        <v>51</v>
      </c>
      <c r="C42" s="407" t="s">
        <v>51</v>
      </c>
      <c r="D42" s="407" t="s">
        <v>51</v>
      </c>
      <c r="E42" s="407" t="s">
        <v>51</v>
      </c>
      <c r="F42" s="405">
        <v>627.79999999999995</v>
      </c>
    </row>
    <row r="43" spans="1:6" x14ac:dyDescent="0.35">
      <c r="A43" s="120" t="s">
        <v>96</v>
      </c>
      <c r="B43" s="403">
        <v>2191.9198999999999</v>
      </c>
      <c r="C43" s="404">
        <v>2196.366</v>
      </c>
      <c r="D43" s="404">
        <v>2159.2578000000003</v>
      </c>
      <c r="E43" s="404">
        <v>1182.1056000000001</v>
      </c>
      <c r="F43" s="405">
        <v>1096.3</v>
      </c>
    </row>
    <row r="44" spans="1:6" x14ac:dyDescent="0.35">
      <c r="A44" s="120" t="s">
        <v>86</v>
      </c>
      <c r="B44" s="403">
        <v>1723.5944999999999</v>
      </c>
      <c r="C44" s="404">
        <v>1804.8536999999999</v>
      </c>
      <c r="D44" s="404">
        <v>1900.6866</v>
      </c>
      <c r="E44" s="404">
        <v>1146.2656000000002</v>
      </c>
      <c r="F44" s="405">
        <v>1215.5</v>
      </c>
    </row>
    <row r="45" spans="1:6" x14ac:dyDescent="0.35">
      <c r="A45" s="112" t="s">
        <v>154</v>
      </c>
      <c r="B45" s="408">
        <f>B40+B43</f>
        <v>18038.6976</v>
      </c>
      <c r="C45" s="409">
        <f>C40+C43</f>
        <v>27741.669899999994</v>
      </c>
      <c r="D45" s="409">
        <f>D40+D43</f>
        <v>29228.168799999999</v>
      </c>
      <c r="E45" s="409">
        <f>E40+E43</f>
        <v>31427.379199999999</v>
      </c>
      <c r="F45" s="410">
        <f>F40+F43</f>
        <v>32171.599999999999</v>
      </c>
    </row>
    <row r="46" spans="1:6" x14ac:dyDescent="0.35">
      <c r="A46" s="177" t="s">
        <v>87</v>
      </c>
      <c r="B46" s="403"/>
      <c r="C46" s="404"/>
      <c r="D46" s="404"/>
      <c r="E46" s="404"/>
      <c r="F46" s="405"/>
    </row>
    <row r="47" spans="1:6" x14ac:dyDescent="0.35">
      <c r="A47" s="120" t="s">
        <v>88</v>
      </c>
      <c r="B47" s="406" t="s">
        <v>51</v>
      </c>
      <c r="C47" s="407" t="s">
        <v>51</v>
      </c>
      <c r="D47" s="407" t="s">
        <v>51</v>
      </c>
      <c r="E47" s="407" t="s">
        <v>51</v>
      </c>
      <c r="F47" s="411" t="s">
        <v>51</v>
      </c>
    </row>
    <row r="48" spans="1:6" x14ac:dyDescent="0.35">
      <c r="A48" s="120" t="s">
        <v>89</v>
      </c>
      <c r="B48" s="412">
        <v>16.600000000000001</v>
      </c>
      <c r="C48" s="413">
        <v>16.600000000000001</v>
      </c>
      <c r="D48" s="413">
        <v>16.600000000000001</v>
      </c>
      <c r="E48" s="413">
        <v>16.600000000000001</v>
      </c>
      <c r="F48" s="414">
        <v>16.600000000000001</v>
      </c>
    </row>
    <row r="49" spans="1:19" x14ac:dyDescent="0.35">
      <c r="A49" s="120" t="s">
        <v>258</v>
      </c>
      <c r="B49" s="403">
        <v>6619.6850999999997</v>
      </c>
      <c r="C49" s="404">
        <v>6918.8705999999993</v>
      </c>
      <c r="D49" s="404">
        <v>7068.7633999999998</v>
      </c>
      <c r="E49" s="404">
        <v>7242.1376</v>
      </c>
      <c r="F49" s="405">
        <v>7376</v>
      </c>
    </row>
    <row r="50" spans="1:19" x14ac:dyDescent="0.35">
      <c r="A50" s="120" t="s">
        <v>90</v>
      </c>
      <c r="B50" s="403">
        <v>45935.464499999995</v>
      </c>
      <c r="C50" s="404">
        <v>47225.575499999999</v>
      </c>
      <c r="D50" s="404">
        <v>48348.944199999998</v>
      </c>
      <c r="E50" s="404">
        <v>49485.619200000001</v>
      </c>
      <c r="F50" s="405">
        <v>50487</v>
      </c>
    </row>
    <row r="51" spans="1:19" x14ac:dyDescent="0.35">
      <c r="A51" s="120" t="s">
        <v>91</v>
      </c>
      <c r="B51" s="415">
        <v>-1612.4016999999999</v>
      </c>
      <c r="C51" s="369">
        <v>-3049.7082</v>
      </c>
      <c r="D51" s="369">
        <v>-3235.1734000000001</v>
      </c>
      <c r="E51" s="369">
        <v>-2230.6816000000003</v>
      </c>
      <c r="F51" s="416">
        <v>-2609.5</v>
      </c>
    </row>
    <row r="52" spans="1:19" x14ac:dyDescent="0.35">
      <c r="A52" s="120" t="s">
        <v>92</v>
      </c>
      <c r="B52" s="415">
        <v>-37322.903099999996</v>
      </c>
      <c r="C52" s="369">
        <v>-43606.231200000002</v>
      </c>
      <c r="D52" s="369">
        <v>-54505.595600000001</v>
      </c>
      <c r="E52" s="369">
        <v>-57860.505600000004</v>
      </c>
      <c r="F52" s="416">
        <v>-61528.5</v>
      </c>
    </row>
    <row r="53" spans="1:19" x14ac:dyDescent="0.35">
      <c r="A53" s="113" t="s">
        <v>93</v>
      </c>
      <c r="B53" s="408">
        <f>SUM(B48:B52)</f>
        <v>13636.444799999997</v>
      </c>
      <c r="C53" s="409">
        <f>SUM(C48:C52)</f>
        <v>7505.1066999999966</v>
      </c>
      <c r="D53" s="417">
        <f>SUM(D48:D52)</f>
        <v>-2306.4614000000001</v>
      </c>
      <c r="E53" s="417">
        <f>SUM(E48:E52)</f>
        <v>-3346.8304000000062</v>
      </c>
      <c r="F53" s="418">
        <f>SUM(F48:F52)</f>
        <v>-6258.4000000000015</v>
      </c>
    </row>
    <row r="54" spans="1:19" x14ac:dyDescent="0.35">
      <c r="A54" s="114"/>
      <c r="B54" s="400"/>
      <c r="C54" s="401"/>
      <c r="D54" s="401"/>
      <c r="E54" s="401"/>
      <c r="F54" s="402"/>
      <c r="K54" s="26"/>
    </row>
    <row r="55" spans="1:19" x14ac:dyDescent="0.35">
      <c r="A55" s="106" t="s">
        <v>47</v>
      </c>
      <c r="B55" s="419">
        <v>5046.8332066098956</v>
      </c>
      <c r="C55" s="366">
        <v>4798.2364260791419</v>
      </c>
      <c r="D55" s="366">
        <v>4903.2443032911542</v>
      </c>
      <c r="E55" s="366">
        <v>5319.1207412695849</v>
      </c>
      <c r="F55" s="420">
        <v>5924.3</v>
      </c>
    </row>
    <row r="56" spans="1:19" x14ac:dyDescent="0.35">
      <c r="A56" s="178" t="s">
        <v>105</v>
      </c>
      <c r="B56" s="186">
        <f>(B55/B27)</f>
        <v>0.1389727520144568</v>
      </c>
      <c r="C56" s="28">
        <f>(C55/C27)</f>
        <v>0.11942719659988713</v>
      </c>
      <c r="D56" s="28">
        <f>(D55/D27)</f>
        <v>0.15109686585773238</v>
      </c>
      <c r="E56" s="28">
        <f>(E55/E27)</f>
        <v>0.15366524519197836</v>
      </c>
      <c r="F56" s="187">
        <f>(F55/F27)</f>
        <v>0.18055724874433124</v>
      </c>
    </row>
    <row r="57" spans="1:19" x14ac:dyDescent="0.35">
      <c r="A57" s="179" t="s">
        <v>106</v>
      </c>
      <c r="B57" s="188">
        <f>(B40+B43)/B27</f>
        <v>0.49672484617587082</v>
      </c>
      <c r="C57" s="29">
        <f>(C40+C43)/C27</f>
        <v>0.69048491382150667</v>
      </c>
      <c r="D57" s="29">
        <f>(D40+D43)/D27</f>
        <v>0.90068624512069728</v>
      </c>
      <c r="E57" s="29">
        <f>(E40+E43)/E27</f>
        <v>0.90791244745397692</v>
      </c>
      <c r="F57" s="145">
        <f>(F40+F43)/F27</f>
        <v>0.98050665626371492</v>
      </c>
    </row>
    <row r="58" spans="1:19" x14ac:dyDescent="0.35">
      <c r="A58" s="180" t="s">
        <v>107</v>
      </c>
      <c r="B58" s="189">
        <f>(B14/B38)</f>
        <v>1.523163142763565</v>
      </c>
      <c r="C58" s="30">
        <f>(C14/C38)</f>
        <v>3.2683703904555315</v>
      </c>
      <c r="D58" s="30">
        <f>(D14/D38)</f>
        <v>1.3979759536372285</v>
      </c>
      <c r="E58" s="30">
        <f>(E14/E38)</f>
        <v>1.8429391821767107</v>
      </c>
      <c r="F58" s="146">
        <f>(F14/F38)</f>
        <v>1.3631074491340172</v>
      </c>
    </row>
    <row r="59" spans="1:19" x14ac:dyDescent="0.35">
      <c r="A59" s="114"/>
      <c r="B59" s="184"/>
      <c r="C59" s="11"/>
      <c r="D59" s="11"/>
      <c r="E59" s="11"/>
      <c r="F59" s="185"/>
    </row>
    <row r="60" spans="1:19" ht="15" thickBot="1" x14ac:dyDescent="0.4">
      <c r="A60" s="181" t="s">
        <v>94</v>
      </c>
      <c r="B60" s="421">
        <f>SUM(B53,B40:B44,B38)</f>
        <v>36314.258799999996</v>
      </c>
      <c r="C60" s="422">
        <f>SUM(C53,C40:C44,C38)</f>
        <v>40176.103899999987</v>
      </c>
      <c r="D60" s="422">
        <f>SUM(D53,D40:D44,D38)</f>
        <v>32450.235800000002</v>
      </c>
      <c r="E60" s="422">
        <f>SUM(E53,E40:E44,E38)</f>
        <v>34614.590399999994</v>
      </c>
      <c r="F60" s="423">
        <f>SUM(F53,F40:F44,F38)</f>
        <v>32811.199999999997</v>
      </c>
    </row>
    <row r="63" spans="1:19" x14ac:dyDescent="0.35">
      <c r="A63" s="794" t="s">
        <v>279</v>
      </c>
      <c r="B63" s="794"/>
      <c r="C63" s="794"/>
      <c r="D63" s="794"/>
      <c r="E63" s="794"/>
      <c r="F63" s="794"/>
      <c r="G63" s="794"/>
      <c r="H63" s="794"/>
      <c r="I63" s="31"/>
      <c r="J63" s="31"/>
      <c r="K63" s="31"/>
      <c r="L63" s="31"/>
      <c r="M63" s="31"/>
      <c r="N63" s="31"/>
      <c r="O63" s="31"/>
      <c r="P63" s="31"/>
      <c r="Q63" s="31"/>
      <c r="R63" s="31"/>
      <c r="S63" s="31"/>
    </row>
    <row r="64" spans="1:19" x14ac:dyDescent="0.35">
      <c r="A64" s="794"/>
      <c r="B64" s="794"/>
      <c r="C64" s="794"/>
      <c r="D64" s="794"/>
      <c r="E64" s="794"/>
      <c r="F64" s="794"/>
      <c r="G64" s="794"/>
      <c r="H64" s="794"/>
    </row>
    <row r="65" spans="1:12" x14ac:dyDescent="0.35">
      <c r="A65" s="21"/>
      <c r="B65" s="21"/>
      <c r="C65" s="21"/>
      <c r="D65" s="21"/>
      <c r="E65" s="21"/>
      <c r="F65" s="21"/>
      <c r="G65" s="21"/>
      <c r="H65" s="21"/>
    </row>
    <row r="66" spans="1:12" ht="15" thickBot="1" x14ac:dyDescent="0.4">
      <c r="A66" s="27" t="s">
        <v>256</v>
      </c>
      <c r="B66" s="73"/>
      <c r="C66" s="73"/>
      <c r="D66" s="73"/>
      <c r="E66" s="73"/>
      <c r="F66" s="73"/>
      <c r="K66" s="34"/>
      <c r="L66" s="80"/>
    </row>
    <row r="67" spans="1:12" x14ac:dyDescent="0.35">
      <c r="A67" s="797" t="s">
        <v>56</v>
      </c>
      <c r="B67" s="784" t="s">
        <v>33</v>
      </c>
      <c r="C67" s="785"/>
      <c r="D67" s="785"/>
      <c r="E67" s="785"/>
      <c r="F67" s="793"/>
      <c r="K67" s="34"/>
      <c r="L67" s="80"/>
    </row>
    <row r="68" spans="1:12" ht="15" thickBot="1" x14ac:dyDescent="0.4">
      <c r="A68" s="798"/>
      <c r="B68" s="100">
        <v>2014</v>
      </c>
      <c r="C68" s="101">
        <v>2015</v>
      </c>
      <c r="D68" s="101">
        <v>2016</v>
      </c>
      <c r="E68" s="101">
        <v>2017</v>
      </c>
      <c r="F68" s="102">
        <v>2018</v>
      </c>
      <c r="K68" s="34"/>
      <c r="L68" s="80"/>
    </row>
    <row r="69" spans="1:12" x14ac:dyDescent="0.35">
      <c r="A69" s="190" t="s">
        <v>75</v>
      </c>
      <c r="B69" s="193"/>
      <c r="C69" s="194"/>
      <c r="D69" s="194"/>
      <c r="E69" s="194"/>
      <c r="F69" s="195"/>
      <c r="K69" s="34"/>
      <c r="L69" s="80"/>
    </row>
    <row r="70" spans="1:12" x14ac:dyDescent="0.35">
      <c r="A70" s="191" t="s">
        <v>59</v>
      </c>
      <c r="B70" s="196"/>
      <c r="C70" s="75"/>
      <c r="D70" s="75"/>
      <c r="E70" s="75"/>
      <c r="F70" s="197"/>
      <c r="K70" s="82"/>
      <c r="L70" s="80"/>
    </row>
    <row r="71" spans="1:12" x14ac:dyDescent="0.35">
      <c r="A71" s="103" t="s">
        <v>60</v>
      </c>
      <c r="B71" s="424">
        <v>2077.9</v>
      </c>
      <c r="C71" s="383">
        <v>7685.5</v>
      </c>
      <c r="D71" s="383">
        <v>1223.4000000000001</v>
      </c>
      <c r="E71" s="383">
        <v>2463.8000000000002</v>
      </c>
      <c r="F71" s="425">
        <v>866</v>
      </c>
      <c r="K71" s="35"/>
      <c r="L71" s="80"/>
    </row>
    <row r="72" spans="1:12" x14ac:dyDescent="0.35">
      <c r="A72" s="103" t="s">
        <v>61</v>
      </c>
      <c r="B72" s="424">
        <v>1214.4000000000001</v>
      </c>
      <c r="C72" s="383">
        <v>1298.7</v>
      </c>
      <c r="D72" s="383">
        <v>1474.1</v>
      </c>
      <c r="E72" s="383">
        <v>1976.2</v>
      </c>
      <c r="F72" s="425">
        <v>2441.5</v>
      </c>
      <c r="K72" s="26"/>
      <c r="L72" s="80"/>
    </row>
    <row r="73" spans="1:12" x14ac:dyDescent="0.35">
      <c r="A73" s="103" t="s">
        <v>63</v>
      </c>
      <c r="B73" s="424">
        <v>110</v>
      </c>
      <c r="C73" s="383">
        <v>100.1</v>
      </c>
      <c r="D73" s="383">
        <v>58.9</v>
      </c>
      <c r="E73" s="383">
        <v>58.8</v>
      </c>
      <c r="F73" s="425">
        <v>51.1</v>
      </c>
      <c r="K73" s="26"/>
      <c r="L73" s="80"/>
    </row>
    <row r="74" spans="1:12" x14ac:dyDescent="0.35">
      <c r="A74" s="103" t="s">
        <v>62</v>
      </c>
      <c r="B74" s="424">
        <v>783.2</v>
      </c>
      <c r="C74" s="383">
        <v>558.70000000000005</v>
      </c>
      <c r="D74" s="383">
        <v>565.20000000000005</v>
      </c>
      <c r="E74" s="383">
        <v>828.4</v>
      </c>
      <c r="F74" s="425">
        <v>694.6</v>
      </c>
      <c r="K74" s="34"/>
      <c r="L74" s="80"/>
    </row>
    <row r="75" spans="1:12" x14ac:dyDescent="0.35">
      <c r="A75" s="103" t="s">
        <v>102</v>
      </c>
      <c r="B75" s="426" t="s">
        <v>51</v>
      </c>
      <c r="C75" s="427" t="s">
        <v>51</v>
      </c>
      <c r="D75" s="383">
        <v>1527</v>
      </c>
      <c r="E75" s="427" t="s">
        <v>51</v>
      </c>
      <c r="F75" s="425"/>
      <c r="K75" s="34"/>
      <c r="L75" s="80"/>
    </row>
    <row r="76" spans="1:12" x14ac:dyDescent="0.35">
      <c r="A76" s="174" t="s">
        <v>64</v>
      </c>
      <c r="B76" s="428">
        <f>SUM(B71:B75)</f>
        <v>4185.5</v>
      </c>
      <c r="C76" s="429">
        <f>SUM(C71:C75)</f>
        <v>9643.0000000000018</v>
      </c>
      <c r="D76" s="429">
        <f>SUM(D71:D75)</f>
        <v>4848.6000000000004</v>
      </c>
      <c r="E76" s="429">
        <f>SUM(E71:E75)</f>
        <v>5327.2</v>
      </c>
      <c r="F76" s="430">
        <f>SUM(F71:F75)</f>
        <v>4053.2</v>
      </c>
      <c r="K76" s="34"/>
      <c r="L76" s="80"/>
    </row>
    <row r="77" spans="1:12" x14ac:dyDescent="0.35">
      <c r="A77" s="103"/>
      <c r="B77" s="424"/>
      <c r="C77" s="383"/>
      <c r="D77" s="383"/>
      <c r="E77" s="383"/>
      <c r="F77" s="425"/>
      <c r="K77" s="35"/>
      <c r="L77" s="80"/>
    </row>
    <row r="78" spans="1:12" x14ac:dyDescent="0.35">
      <c r="A78" s="191" t="s">
        <v>65</v>
      </c>
      <c r="B78" s="424"/>
      <c r="C78" s="383"/>
      <c r="D78" s="383"/>
      <c r="E78" s="383"/>
      <c r="F78" s="425"/>
      <c r="K78" s="26"/>
      <c r="L78" s="80"/>
    </row>
    <row r="79" spans="1:12" x14ac:dyDescent="0.35">
      <c r="A79" s="103" t="s">
        <v>66</v>
      </c>
      <c r="B79" s="424">
        <v>1004.5</v>
      </c>
      <c r="C79" s="383">
        <v>792.7</v>
      </c>
      <c r="D79" s="383">
        <v>725.9</v>
      </c>
      <c r="E79" s="383">
        <v>1085.7</v>
      </c>
      <c r="F79" s="425">
        <v>1202.8</v>
      </c>
      <c r="K79" s="26"/>
      <c r="L79" s="80"/>
    </row>
    <row r="80" spans="1:12" x14ac:dyDescent="0.35">
      <c r="A80" s="103" t="s">
        <v>67</v>
      </c>
      <c r="B80" s="424">
        <v>2735.3</v>
      </c>
      <c r="C80" s="383">
        <v>2516.3000000000002</v>
      </c>
      <c r="D80" s="383">
        <v>2336.5</v>
      </c>
      <c r="E80" s="383">
        <v>2379.6999999999998</v>
      </c>
      <c r="F80" s="425">
        <v>2331.5</v>
      </c>
      <c r="K80" s="34"/>
      <c r="L80" s="80"/>
    </row>
    <row r="81" spans="1:12" x14ac:dyDescent="0.35">
      <c r="A81" s="103" t="s">
        <v>68</v>
      </c>
      <c r="B81" s="424">
        <v>1744.6</v>
      </c>
      <c r="C81" s="383">
        <v>1869.1</v>
      </c>
      <c r="D81" s="383">
        <v>1855.3</v>
      </c>
      <c r="E81" s="383">
        <v>2562.8000000000002</v>
      </c>
      <c r="F81" s="425">
        <v>2381</v>
      </c>
      <c r="K81" s="34"/>
      <c r="L81" s="80"/>
    </row>
    <row r="82" spans="1:12" x14ac:dyDescent="0.35">
      <c r="A82" s="175" t="s">
        <v>69</v>
      </c>
      <c r="B82" s="431">
        <f>SUM(B79:B81)</f>
        <v>5484.4</v>
      </c>
      <c r="C82" s="432">
        <f>SUM(C79:C81)</f>
        <v>5178.1000000000004</v>
      </c>
      <c r="D82" s="432">
        <f>SUM(D79:D81)</f>
        <v>4917.7</v>
      </c>
      <c r="E82" s="432">
        <f>SUM(E79:E81)</f>
        <v>6028.2</v>
      </c>
      <c r="F82" s="433">
        <f>SUM(F79:F81)</f>
        <v>5915.3</v>
      </c>
      <c r="K82" s="35"/>
      <c r="L82" s="80"/>
    </row>
    <row r="83" spans="1:12" x14ac:dyDescent="0.35">
      <c r="A83" s="103"/>
      <c r="B83" s="424"/>
      <c r="C83" s="383"/>
      <c r="D83" s="383"/>
      <c r="E83" s="383"/>
      <c r="F83" s="425"/>
      <c r="K83" s="26"/>
      <c r="L83" s="80"/>
    </row>
    <row r="84" spans="1:12" x14ac:dyDescent="0.35">
      <c r="A84" s="191" t="s">
        <v>70</v>
      </c>
      <c r="B84" s="424"/>
      <c r="C84" s="383"/>
      <c r="D84" s="383"/>
      <c r="E84" s="383"/>
      <c r="F84" s="425"/>
      <c r="K84" s="35"/>
      <c r="L84" s="80"/>
    </row>
    <row r="85" spans="1:12" x14ac:dyDescent="0.35">
      <c r="A85" s="103" t="s">
        <v>71</v>
      </c>
      <c r="B85" s="424">
        <v>39126.1</v>
      </c>
      <c r="C85" s="383">
        <v>37692.400000000001</v>
      </c>
      <c r="D85" s="383">
        <v>34443.4</v>
      </c>
      <c r="E85" s="383">
        <v>36626.400000000001</v>
      </c>
      <c r="F85" s="425">
        <v>37193.599999999999</v>
      </c>
      <c r="K85" s="26"/>
      <c r="L85" s="80"/>
    </row>
    <row r="86" spans="1:12" x14ac:dyDescent="0.35">
      <c r="A86" s="103" t="s">
        <v>72</v>
      </c>
      <c r="B86" s="424">
        <v>-14568.6</v>
      </c>
      <c r="C86" s="383">
        <v>-14574.8</v>
      </c>
      <c r="D86" s="383">
        <v>-13185.8</v>
      </c>
      <c r="E86" s="383">
        <v>-14178.1</v>
      </c>
      <c r="F86" s="425">
        <v>-14350.9</v>
      </c>
      <c r="K86" s="26"/>
      <c r="L86" s="80"/>
    </row>
    <row r="87" spans="1:12" x14ac:dyDescent="0.35">
      <c r="A87" s="119" t="s">
        <v>73</v>
      </c>
      <c r="B87" s="434">
        <f>SUM(B85:B86)</f>
        <v>24557.5</v>
      </c>
      <c r="C87" s="435">
        <f>SUM(C85:C86)</f>
        <v>23117.600000000002</v>
      </c>
      <c r="D87" s="435">
        <f>SUM(D85:D86)</f>
        <v>21257.600000000002</v>
      </c>
      <c r="E87" s="435">
        <f>SUM(E85:E86)</f>
        <v>22448.300000000003</v>
      </c>
      <c r="F87" s="436">
        <f>SUM(F85:F86)</f>
        <v>22842.699999999997</v>
      </c>
      <c r="K87" s="26"/>
      <c r="L87" s="80"/>
    </row>
    <row r="88" spans="1:12" x14ac:dyDescent="0.35">
      <c r="A88" s="103"/>
      <c r="B88" s="424"/>
      <c r="C88" s="383"/>
      <c r="D88" s="383"/>
      <c r="E88" s="383"/>
      <c r="F88" s="425"/>
      <c r="K88" s="34"/>
      <c r="L88" s="80"/>
    </row>
    <row r="89" spans="1:12" x14ac:dyDescent="0.35">
      <c r="A89" s="176" t="s">
        <v>74</v>
      </c>
      <c r="B89" s="419">
        <f>SUM(B87,B82,B76)</f>
        <v>34227.4</v>
      </c>
      <c r="C89" s="366">
        <f>SUM(C87,C82,C76)</f>
        <v>37938.700000000004</v>
      </c>
      <c r="D89" s="366">
        <f>SUM(D87,D82,D76)</f>
        <v>31023.9</v>
      </c>
      <c r="E89" s="366">
        <f>SUM(E87,E82,E76)</f>
        <v>33803.700000000004</v>
      </c>
      <c r="F89" s="420">
        <f>SUM(F87,F82,F76)</f>
        <v>32811.199999999997</v>
      </c>
      <c r="K89" s="34"/>
      <c r="L89" s="80"/>
    </row>
    <row r="90" spans="1:12" x14ac:dyDescent="0.35">
      <c r="A90" s="103"/>
      <c r="B90" s="424"/>
      <c r="C90" s="383"/>
      <c r="D90" s="383"/>
      <c r="E90" s="383"/>
      <c r="F90" s="425"/>
      <c r="K90" s="34"/>
      <c r="L90" s="80"/>
    </row>
    <row r="91" spans="1:12" x14ac:dyDescent="0.35">
      <c r="A91" s="134" t="s">
        <v>76</v>
      </c>
      <c r="B91" s="424"/>
      <c r="C91" s="383"/>
      <c r="D91" s="383"/>
      <c r="E91" s="383"/>
      <c r="F91" s="425"/>
      <c r="K91" s="34"/>
      <c r="L91" s="80"/>
    </row>
    <row r="92" spans="1:12" x14ac:dyDescent="0.35">
      <c r="A92" s="133" t="s">
        <v>77</v>
      </c>
      <c r="B92" s="424"/>
      <c r="C92" s="383"/>
      <c r="D92" s="383"/>
      <c r="E92" s="383"/>
      <c r="F92" s="425"/>
      <c r="K92" s="34"/>
      <c r="L92" s="80"/>
    </row>
    <row r="93" spans="1:12" x14ac:dyDescent="0.35">
      <c r="A93" s="103" t="s">
        <v>78</v>
      </c>
      <c r="B93" s="424">
        <v>860.1</v>
      </c>
      <c r="C93" s="383">
        <v>874.7</v>
      </c>
      <c r="D93" s="383">
        <v>756</v>
      </c>
      <c r="E93" s="383">
        <v>924.8</v>
      </c>
      <c r="F93" s="425">
        <v>1207.9000000000001</v>
      </c>
      <c r="K93" s="81"/>
      <c r="L93" s="80"/>
    </row>
    <row r="94" spans="1:12" x14ac:dyDescent="0.35">
      <c r="A94" s="103" t="s">
        <v>79</v>
      </c>
      <c r="B94" s="424">
        <v>166.8</v>
      </c>
      <c r="C94" s="383">
        <v>154.80000000000001</v>
      </c>
      <c r="D94" s="383">
        <v>267.2</v>
      </c>
      <c r="E94" s="383">
        <v>265.8</v>
      </c>
      <c r="F94" s="425">
        <v>228.3</v>
      </c>
      <c r="K94" s="81"/>
      <c r="L94" s="80"/>
    </row>
    <row r="95" spans="1:12" x14ac:dyDescent="0.35">
      <c r="A95" s="103" t="s">
        <v>80</v>
      </c>
      <c r="B95" s="424">
        <v>330</v>
      </c>
      <c r="C95" s="383">
        <v>309</v>
      </c>
      <c r="D95" s="383">
        <v>266.3</v>
      </c>
      <c r="E95" s="383">
        <v>275.39999999999998</v>
      </c>
      <c r="F95" s="425">
        <v>253.7</v>
      </c>
      <c r="K95" s="35"/>
      <c r="L95" s="80"/>
    </row>
    <row r="96" spans="1:12" x14ac:dyDescent="0.35">
      <c r="A96" s="103" t="s">
        <v>81</v>
      </c>
      <c r="B96" s="424">
        <v>233.7</v>
      </c>
      <c r="C96" s="383">
        <v>233.1</v>
      </c>
      <c r="D96" s="383">
        <v>247.5</v>
      </c>
      <c r="E96" s="383">
        <v>278.39999999999998</v>
      </c>
      <c r="F96" s="425">
        <v>297</v>
      </c>
      <c r="K96" s="26"/>
      <c r="L96" s="80"/>
    </row>
    <row r="97" spans="1:13" x14ac:dyDescent="0.35">
      <c r="A97" s="103" t="s">
        <v>82</v>
      </c>
      <c r="B97" s="424">
        <v>1157.3</v>
      </c>
      <c r="C97" s="383">
        <v>1378.8</v>
      </c>
      <c r="D97" s="383">
        <v>1159.3</v>
      </c>
      <c r="E97" s="383">
        <v>1146.2</v>
      </c>
      <c r="F97" s="425">
        <v>986.6</v>
      </c>
      <c r="K97" s="34"/>
      <c r="L97" s="80"/>
    </row>
    <row r="98" spans="1:13" x14ac:dyDescent="0.35">
      <c r="A98" s="103" t="s">
        <v>103</v>
      </c>
      <c r="B98" s="426" t="s">
        <v>51</v>
      </c>
      <c r="C98" s="427" t="s">
        <v>51</v>
      </c>
      <c r="D98" s="383">
        <v>77.2</v>
      </c>
      <c r="E98" s="427" t="s">
        <v>51</v>
      </c>
      <c r="F98" s="437" t="s">
        <v>51</v>
      </c>
      <c r="K98" s="81"/>
      <c r="L98" s="80"/>
    </row>
    <row r="99" spans="1:13" x14ac:dyDescent="0.35">
      <c r="A99" s="103" t="s">
        <v>104</v>
      </c>
      <c r="B99" s="426" t="s">
        <v>51</v>
      </c>
      <c r="C99" s="427" t="s">
        <v>51</v>
      </c>
      <c r="D99" s="383">
        <v>694.8</v>
      </c>
      <c r="E99" s="427" t="s">
        <v>51</v>
      </c>
      <c r="F99" s="437" t="s">
        <v>51</v>
      </c>
      <c r="K99" s="81"/>
      <c r="L99" s="80"/>
    </row>
    <row r="100" spans="1:13" x14ac:dyDescent="0.35">
      <c r="A100" s="89" t="s">
        <v>83</v>
      </c>
      <c r="B100" s="397">
        <f>SUM(B93:B99)</f>
        <v>2747.9</v>
      </c>
      <c r="C100" s="398">
        <f>SUM(C93:C99)</f>
        <v>2950.3999999999996</v>
      </c>
      <c r="D100" s="398">
        <f>SUM(D93:D99)</f>
        <v>3468.3</v>
      </c>
      <c r="E100" s="398">
        <f>SUM(E93:E99)</f>
        <v>2890.6000000000004</v>
      </c>
      <c r="F100" s="399">
        <f>SUM(F93:F99)</f>
        <v>2973.5</v>
      </c>
      <c r="K100" s="34"/>
      <c r="L100" s="80"/>
    </row>
    <row r="101" spans="1:13" x14ac:dyDescent="0.35">
      <c r="A101" s="103"/>
      <c r="B101" s="424"/>
      <c r="C101" s="383"/>
      <c r="D101" s="383"/>
      <c r="E101" s="383"/>
      <c r="F101" s="425"/>
      <c r="K101" s="34"/>
      <c r="L101" s="80"/>
    </row>
    <row r="102" spans="1:13" x14ac:dyDescent="0.35">
      <c r="A102" s="103" t="s">
        <v>84</v>
      </c>
      <c r="B102" s="424">
        <v>14935.7</v>
      </c>
      <c r="C102" s="383">
        <v>24122.1</v>
      </c>
      <c r="D102" s="383">
        <v>25878.5</v>
      </c>
      <c r="E102" s="383">
        <v>29536.400000000001</v>
      </c>
      <c r="F102" s="425">
        <v>31075.3</v>
      </c>
      <c r="K102" s="35"/>
      <c r="L102" s="80"/>
    </row>
    <row r="103" spans="1:13" x14ac:dyDescent="0.35">
      <c r="A103" s="103" t="s">
        <v>85</v>
      </c>
      <c r="B103" s="426" t="s">
        <v>51</v>
      </c>
      <c r="C103" s="427" t="s">
        <v>51</v>
      </c>
      <c r="D103" s="427" t="s">
        <v>51</v>
      </c>
      <c r="E103" s="383">
        <v>2370.9</v>
      </c>
      <c r="F103" s="425">
        <v>2081.1999999999998</v>
      </c>
      <c r="K103" s="34"/>
      <c r="L103" s="80"/>
    </row>
    <row r="104" spans="1:13" x14ac:dyDescent="0.35">
      <c r="A104" s="103" t="s">
        <v>95</v>
      </c>
      <c r="B104" s="426" t="s">
        <v>51</v>
      </c>
      <c r="C104" s="427" t="s">
        <v>51</v>
      </c>
      <c r="D104" s="427" t="s">
        <v>51</v>
      </c>
      <c r="E104" s="427" t="s">
        <v>51</v>
      </c>
      <c r="F104" s="425">
        <v>627.79999999999995</v>
      </c>
      <c r="K104" s="82"/>
      <c r="L104" s="80"/>
    </row>
    <row r="105" spans="1:13" x14ac:dyDescent="0.35">
      <c r="A105" s="103" t="s">
        <v>96</v>
      </c>
      <c r="B105" s="424">
        <v>2065.9</v>
      </c>
      <c r="C105" s="383">
        <v>2074</v>
      </c>
      <c r="D105" s="383">
        <v>2064.3000000000002</v>
      </c>
      <c r="E105" s="383">
        <v>1154.4000000000001</v>
      </c>
      <c r="F105" s="425">
        <v>1096.3</v>
      </c>
      <c r="K105" s="32"/>
      <c r="L105" s="80"/>
    </row>
    <row r="106" spans="1:13" x14ac:dyDescent="0.35">
      <c r="A106" s="103" t="s">
        <v>86</v>
      </c>
      <c r="B106" s="424">
        <v>1624.5</v>
      </c>
      <c r="C106" s="383">
        <v>1704.3</v>
      </c>
      <c r="D106" s="383">
        <v>1817.1</v>
      </c>
      <c r="E106" s="383">
        <v>1119.4000000000001</v>
      </c>
      <c r="F106" s="425">
        <v>1215.5</v>
      </c>
      <c r="K106" s="34"/>
      <c r="L106" s="80"/>
    </row>
    <row r="107" spans="1:13" x14ac:dyDescent="0.35">
      <c r="A107" s="112" t="s">
        <v>154</v>
      </c>
      <c r="B107" s="408">
        <f>SUM(B102,B105)</f>
        <v>17001.600000000002</v>
      </c>
      <c r="C107" s="409">
        <f>SUM(C102,C105)</f>
        <v>26196.1</v>
      </c>
      <c r="D107" s="409">
        <f>SUM(D102,D105)</f>
        <v>27942.799999999999</v>
      </c>
      <c r="E107" s="409">
        <f>SUM(E102,E105)</f>
        <v>30690.800000000003</v>
      </c>
      <c r="F107" s="410">
        <f>F102+F105</f>
        <v>32171.599999999999</v>
      </c>
      <c r="K107" s="34"/>
      <c r="L107" s="80"/>
    </row>
    <row r="108" spans="1:13" x14ac:dyDescent="0.35">
      <c r="A108" s="192" t="s">
        <v>87</v>
      </c>
      <c r="B108" s="424"/>
      <c r="C108" s="383"/>
      <c r="D108" s="383"/>
      <c r="E108" s="383"/>
      <c r="F108" s="425"/>
      <c r="K108" s="34"/>
      <c r="L108" s="80"/>
    </row>
    <row r="109" spans="1:13" x14ac:dyDescent="0.35">
      <c r="A109" s="103" t="s">
        <v>88</v>
      </c>
      <c r="B109" s="426" t="s">
        <v>51</v>
      </c>
      <c r="C109" s="427" t="s">
        <v>51</v>
      </c>
      <c r="D109" s="427" t="s">
        <v>51</v>
      </c>
      <c r="E109" s="427" t="s">
        <v>51</v>
      </c>
      <c r="F109" s="437" t="s">
        <v>51</v>
      </c>
      <c r="K109" s="34"/>
      <c r="L109" s="80"/>
    </row>
    <row r="110" spans="1:13" x14ac:dyDescent="0.35">
      <c r="A110" s="103" t="s">
        <v>89</v>
      </c>
      <c r="B110" s="424">
        <v>16.600000000000001</v>
      </c>
      <c r="C110" s="383">
        <v>16.600000000000001</v>
      </c>
      <c r="D110" s="383">
        <v>16.600000000000001</v>
      </c>
      <c r="E110" s="383">
        <v>16.600000000000001</v>
      </c>
      <c r="F110" s="438">
        <v>16.600000000000001</v>
      </c>
      <c r="K110" s="35"/>
      <c r="L110" s="80"/>
      <c r="M110" s="80"/>
    </row>
    <row r="111" spans="1:13" x14ac:dyDescent="0.35">
      <c r="A111" s="103" t="s">
        <v>258</v>
      </c>
      <c r="B111" s="424">
        <v>6239.1</v>
      </c>
      <c r="C111" s="383">
        <v>6533.4</v>
      </c>
      <c r="D111" s="383">
        <v>6757.9</v>
      </c>
      <c r="E111" s="383">
        <v>7072.4</v>
      </c>
      <c r="F111" s="425">
        <v>7376</v>
      </c>
      <c r="K111" s="35"/>
      <c r="L111" s="80"/>
    </row>
    <row r="112" spans="1:13" x14ac:dyDescent="0.35">
      <c r="A112" s="103" t="s">
        <v>90</v>
      </c>
      <c r="B112" s="424">
        <v>43294.5</v>
      </c>
      <c r="C112" s="383">
        <v>44594.5</v>
      </c>
      <c r="D112" s="383">
        <v>46222.7</v>
      </c>
      <c r="E112" s="383">
        <v>48325.8</v>
      </c>
      <c r="F112" s="425">
        <v>50487</v>
      </c>
    </row>
    <row r="113" spans="1:6" x14ac:dyDescent="0.35">
      <c r="A113" s="103" t="s">
        <v>91</v>
      </c>
      <c r="B113" s="424">
        <v>-1519.7</v>
      </c>
      <c r="C113" s="383">
        <v>-2879.8</v>
      </c>
      <c r="D113" s="383">
        <v>-3092.9</v>
      </c>
      <c r="E113" s="383">
        <v>-2178.4</v>
      </c>
      <c r="F113" s="425">
        <v>-2609.5</v>
      </c>
    </row>
    <row r="114" spans="1:6" x14ac:dyDescent="0.35">
      <c r="A114" s="103" t="s">
        <v>92</v>
      </c>
      <c r="B114" s="424">
        <v>-35177.1</v>
      </c>
      <c r="C114" s="383">
        <v>-41176.800000000003</v>
      </c>
      <c r="D114" s="383">
        <v>-52108.6</v>
      </c>
      <c r="E114" s="383">
        <v>-56504.4</v>
      </c>
      <c r="F114" s="425">
        <v>-61528.5</v>
      </c>
    </row>
    <row r="115" spans="1:6" x14ac:dyDescent="0.35">
      <c r="A115" s="113" t="s">
        <v>93</v>
      </c>
      <c r="B115" s="439">
        <f>SUM(B110:B114)</f>
        <v>12853.400000000001</v>
      </c>
      <c r="C115" s="417">
        <f>SUM(C110:C114)</f>
        <v>7087.8999999999942</v>
      </c>
      <c r="D115" s="417">
        <f>SUM(D110:D114)</f>
        <v>-2204.3000000000029</v>
      </c>
      <c r="E115" s="417">
        <f>SUM(E110:E114)</f>
        <v>-3268</v>
      </c>
      <c r="F115" s="418">
        <f>SUM(F110:F114)</f>
        <v>-6258.4000000000015</v>
      </c>
    </row>
    <row r="116" spans="1:6" ht="15" thickBot="1" x14ac:dyDescent="0.4">
      <c r="A116" s="181" t="s">
        <v>94</v>
      </c>
      <c r="B116" s="421">
        <f>SUM(B115,B100,B102:B106)</f>
        <v>34227.4</v>
      </c>
      <c r="C116" s="422">
        <f t="shared" ref="C116:F116" si="0">SUM(C115,C100,C102:C106)</f>
        <v>37938.699999999997</v>
      </c>
      <c r="D116" s="422">
        <f t="shared" si="0"/>
        <v>31023.899999999994</v>
      </c>
      <c r="E116" s="422">
        <f t="shared" si="0"/>
        <v>33803.700000000004</v>
      </c>
      <c r="F116" s="423">
        <f t="shared" si="0"/>
        <v>32811.199999999997</v>
      </c>
    </row>
    <row r="117" spans="1:6" x14ac:dyDescent="0.35">
      <c r="A117" s="21"/>
    </row>
    <row r="118" spans="1:6" x14ac:dyDescent="0.35">
      <c r="A118" s="9" t="s">
        <v>98</v>
      </c>
    </row>
    <row r="119" spans="1:6" x14ac:dyDescent="0.35">
      <c r="A119" s="27"/>
    </row>
  </sheetData>
  <sortState xmlns:xlrd2="http://schemas.microsoft.com/office/spreadsheetml/2017/richdata2" columnSort="1" ref="B70:E114">
    <sortCondition descending="1" ref="B70:E70"/>
  </sortState>
  <mergeCells count="7">
    <mergeCell ref="B5:F5"/>
    <mergeCell ref="A1:M1"/>
    <mergeCell ref="B67:F67"/>
    <mergeCell ref="A63:H64"/>
    <mergeCell ref="A5:A6"/>
    <mergeCell ref="H5:H6"/>
    <mergeCell ref="A67:A68"/>
  </mergeCells>
  <hyperlinks>
    <hyperlink ref="A2" location="Home!A1" display="Go to Home" xr:uid="{D4C6AD14-5C3B-42FB-B1B3-6A86147F3F43}"/>
    <hyperlink ref="A118" location="References!A1" display="Go to References" xr:uid="{CFE6605E-C725-4D22-818B-DAEAE3B37E42}"/>
  </hyperlink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197B-0A9B-40F9-94D5-EAA00DED9FE3}">
  <dimension ref="A1:T105"/>
  <sheetViews>
    <sheetView topLeftCell="A70" zoomScale="62" zoomScaleNormal="62" zoomScaleSheetLayoutView="50" workbookViewId="0">
      <selection activeCell="A80" sqref="A80"/>
    </sheetView>
  </sheetViews>
  <sheetFormatPr defaultRowHeight="14.5" x14ac:dyDescent="0.35"/>
  <cols>
    <col min="1" max="1" width="51.81640625" bestFit="1" customWidth="1"/>
    <col min="2" max="2" width="14.6328125" bestFit="1" customWidth="1"/>
    <col min="3" max="3" width="15.26953125" bestFit="1" customWidth="1"/>
    <col min="4" max="4" width="14.26953125" bestFit="1" customWidth="1"/>
    <col min="5" max="5" width="15.26953125" bestFit="1" customWidth="1"/>
    <col min="6" max="6" width="14.6328125" bestFit="1" customWidth="1"/>
    <col min="8" max="8" width="24.81640625" customWidth="1"/>
    <col min="9" max="9" width="29.7265625" bestFit="1" customWidth="1"/>
    <col min="10" max="14" width="14.08984375" bestFit="1" customWidth="1"/>
    <col min="15" max="15" width="11.7265625" customWidth="1"/>
    <col min="16" max="16" width="12.1796875" bestFit="1" customWidth="1"/>
    <col min="17" max="18" width="11.1796875" bestFit="1" customWidth="1"/>
  </cols>
  <sheetData>
    <row r="1" spans="1:14" ht="20" thickBot="1" x14ac:dyDescent="0.5">
      <c r="A1" s="783" t="s">
        <v>108</v>
      </c>
      <c r="B1" s="783"/>
      <c r="C1" s="783"/>
      <c r="D1" s="783"/>
      <c r="E1" s="783"/>
      <c r="F1" s="783"/>
      <c r="G1" s="783"/>
      <c r="H1" s="783"/>
      <c r="I1" s="783"/>
      <c r="J1" s="783"/>
      <c r="K1" s="783"/>
      <c r="L1" s="783"/>
      <c r="M1" s="783"/>
      <c r="N1" s="783"/>
    </row>
    <row r="2" spans="1:14" ht="15" thickTop="1" x14ac:dyDescent="0.35">
      <c r="A2" s="253" t="s">
        <v>35</v>
      </c>
      <c r="B2" s="219"/>
      <c r="C2" s="219"/>
      <c r="D2" s="219"/>
      <c r="E2" s="219"/>
      <c r="F2" s="219"/>
      <c r="G2" s="219"/>
      <c r="H2" s="219"/>
      <c r="I2" s="219"/>
      <c r="J2" s="219"/>
      <c r="K2" s="219"/>
      <c r="L2" s="219"/>
      <c r="M2" s="219"/>
      <c r="N2" s="219"/>
    </row>
    <row r="3" spans="1:14" x14ac:dyDescent="0.35">
      <c r="A3" s="220" t="s">
        <v>330</v>
      </c>
      <c r="B3" s="219"/>
      <c r="C3" s="219"/>
      <c r="D3" s="219"/>
      <c r="E3" s="219"/>
      <c r="F3" s="219"/>
      <c r="G3" s="219"/>
      <c r="H3" s="219"/>
      <c r="I3" s="219"/>
      <c r="J3" s="219"/>
      <c r="K3" s="219"/>
      <c r="L3" s="219"/>
      <c r="M3" s="219"/>
      <c r="N3" s="219"/>
    </row>
    <row r="4" spans="1:14" ht="15" thickBot="1" x14ac:dyDescent="0.4">
      <c r="A4" s="220" t="s">
        <v>257</v>
      </c>
      <c r="B4" s="219"/>
      <c r="C4" s="219"/>
      <c r="D4" s="219"/>
      <c r="E4" s="219"/>
      <c r="F4" s="219"/>
      <c r="G4" s="219"/>
      <c r="H4" s="219"/>
      <c r="I4" s="219"/>
      <c r="J4" s="219"/>
      <c r="K4" s="219"/>
      <c r="L4" s="219"/>
      <c r="M4" s="219"/>
      <c r="N4" s="219"/>
    </row>
    <row r="5" spans="1:14" x14ac:dyDescent="0.35">
      <c r="A5" s="787" t="s">
        <v>56</v>
      </c>
      <c r="B5" s="782" t="s">
        <v>33</v>
      </c>
      <c r="C5" s="791"/>
      <c r="D5" s="791"/>
      <c r="E5" s="791"/>
      <c r="F5" s="792"/>
      <c r="G5" s="219"/>
      <c r="H5" s="787" t="s">
        <v>55</v>
      </c>
      <c r="I5" s="782" t="s">
        <v>33</v>
      </c>
      <c r="J5" s="799"/>
      <c r="K5" s="799"/>
      <c r="L5" s="799"/>
      <c r="M5" s="799"/>
      <c r="N5" s="800"/>
    </row>
    <row r="6" spans="1:14" ht="15" thickBot="1" x14ac:dyDescent="0.4">
      <c r="A6" s="788"/>
      <c r="B6" s="378">
        <v>2014</v>
      </c>
      <c r="C6" s="379">
        <v>2015</v>
      </c>
      <c r="D6" s="379">
        <v>2016</v>
      </c>
      <c r="E6" s="379">
        <v>2017</v>
      </c>
      <c r="F6" s="386">
        <v>2018</v>
      </c>
      <c r="G6" s="219"/>
      <c r="H6" s="788"/>
      <c r="I6" s="319"/>
      <c r="J6" s="380">
        <v>2014</v>
      </c>
      <c r="K6" s="380">
        <v>2015</v>
      </c>
      <c r="L6" s="380">
        <v>2016</v>
      </c>
      <c r="M6" s="380">
        <v>2017</v>
      </c>
      <c r="N6" s="381">
        <v>2018</v>
      </c>
    </row>
    <row r="7" spans="1:14" x14ac:dyDescent="0.35">
      <c r="A7" s="320" t="s">
        <v>110</v>
      </c>
      <c r="B7" s="321"/>
      <c r="C7" s="322"/>
      <c r="D7" s="322"/>
      <c r="E7" s="322"/>
      <c r="F7" s="323"/>
      <c r="G7" s="219"/>
      <c r="H7" s="324" t="s">
        <v>167</v>
      </c>
      <c r="I7" s="325" t="s">
        <v>144</v>
      </c>
      <c r="J7" s="326"/>
      <c r="K7" s="326"/>
      <c r="L7" s="326"/>
      <c r="M7" s="326"/>
      <c r="N7" s="327"/>
    </row>
    <row r="8" spans="1:14" x14ac:dyDescent="0.35">
      <c r="A8" s="328" t="s">
        <v>47</v>
      </c>
      <c r="B8" s="403">
        <v>5048.2379999999994</v>
      </c>
      <c r="C8" s="404">
        <v>4796.2109999999993</v>
      </c>
      <c r="D8" s="404">
        <v>4902.0789999999997</v>
      </c>
      <c r="E8" s="404">
        <v>5316.9152000000031</v>
      </c>
      <c r="F8" s="405">
        <v>5924.3</v>
      </c>
      <c r="G8" s="219"/>
      <c r="H8" s="249"/>
      <c r="I8" s="329" t="s">
        <v>145</v>
      </c>
      <c r="J8" s="534">
        <f>B21/B50</f>
        <v>0.24533726334028466</v>
      </c>
      <c r="K8" s="534">
        <f>C21/C50</f>
        <v>0.2571927694177501</v>
      </c>
      <c r="L8" s="534">
        <f>D21/D50</f>
        <v>0.24604761929935015</v>
      </c>
      <c r="M8" s="534">
        <f>E21/E50</f>
        <v>0.24315516943034937</v>
      </c>
      <c r="N8" s="535">
        <f>F21/F50</f>
        <v>0.33134999904876061</v>
      </c>
    </row>
    <row r="9" spans="1:14" x14ac:dyDescent="0.35">
      <c r="A9" s="330" t="s">
        <v>111</v>
      </c>
      <c r="B9" s="403"/>
      <c r="C9" s="404"/>
      <c r="D9" s="404"/>
      <c r="E9" s="404"/>
      <c r="F9" s="405"/>
      <c r="G9" s="219"/>
      <c r="H9" s="249"/>
      <c r="I9" s="329"/>
      <c r="J9" s="536"/>
      <c r="K9" s="536"/>
      <c r="L9" s="536"/>
      <c r="M9" s="536"/>
      <c r="N9" s="537"/>
    </row>
    <row r="10" spans="1:14" x14ac:dyDescent="0.35">
      <c r="A10" s="328" t="s">
        <v>112</v>
      </c>
      <c r="B10" s="403">
        <v>1744.8145</v>
      </c>
      <c r="C10" s="404">
        <v>1647.4863</v>
      </c>
      <c r="D10" s="404">
        <v>1586.259</v>
      </c>
      <c r="E10" s="404">
        <v>1396.1216000000002</v>
      </c>
      <c r="F10" s="405">
        <v>1482</v>
      </c>
      <c r="G10" s="219"/>
      <c r="H10" s="249"/>
      <c r="I10" s="329" t="s">
        <v>143</v>
      </c>
      <c r="J10" s="536"/>
      <c r="K10" s="536"/>
      <c r="L10" s="536"/>
      <c r="M10" s="536"/>
      <c r="N10" s="537"/>
    </row>
    <row r="11" spans="1:14" x14ac:dyDescent="0.35">
      <c r="A11" s="328" t="s">
        <v>86</v>
      </c>
      <c r="B11" s="415">
        <v>-96.232699999999994</v>
      </c>
      <c r="C11" s="369">
        <v>-1.4825999999999999</v>
      </c>
      <c r="D11" s="369">
        <v>-563.37560000000008</v>
      </c>
      <c r="E11" s="369">
        <v>-37.273600000000002</v>
      </c>
      <c r="F11" s="405">
        <v>102.6</v>
      </c>
      <c r="G11" s="219"/>
      <c r="H11" s="249"/>
      <c r="I11" s="329" t="s">
        <v>146</v>
      </c>
      <c r="J11" s="772">
        <f>B21+B24</f>
        <v>4400.0730999999996</v>
      </c>
      <c r="K11" s="772">
        <f>C21+C24</f>
        <v>5003.6690999999992</v>
      </c>
      <c r="L11" s="772">
        <f>D21+D24</f>
        <v>4433.4709999999995</v>
      </c>
      <c r="M11" s="772">
        <f>E21+E24</f>
        <v>3786.2400000000025</v>
      </c>
      <c r="N11" s="773">
        <f>F21+F24</f>
        <v>4225.0000000000018</v>
      </c>
    </row>
    <row r="12" spans="1:14" x14ac:dyDescent="0.35">
      <c r="A12" s="328" t="s">
        <v>137</v>
      </c>
      <c r="B12" s="403">
        <v>119.68079999999999</v>
      </c>
      <c r="C12" s="404">
        <v>116.49</v>
      </c>
      <c r="D12" s="404">
        <v>137.33980000000003</v>
      </c>
      <c r="E12" s="404">
        <v>120.32000000000001</v>
      </c>
      <c r="F12" s="405">
        <v>125.1</v>
      </c>
      <c r="G12" s="219"/>
      <c r="H12" s="235" t="s">
        <v>168</v>
      </c>
      <c r="I12" s="331" t="s">
        <v>147</v>
      </c>
      <c r="J12" s="538"/>
      <c r="K12" s="538"/>
      <c r="L12" s="538"/>
      <c r="M12" s="538"/>
      <c r="N12" s="539"/>
    </row>
    <row r="13" spans="1:14" x14ac:dyDescent="0.35">
      <c r="A13" s="328" t="s">
        <v>138</v>
      </c>
      <c r="B13" s="406" t="s">
        <v>51</v>
      </c>
      <c r="C13" s="407" t="s">
        <v>51</v>
      </c>
      <c r="D13" s="369">
        <v>-324.99220000000003</v>
      </c>
      <c r="E13" s="369">
        <v>-1183.5391999999999</v>
      </c>
      <c r="F13" s="416">
        <v>-308.8</v>
      </c>
      <c r="G13" s="219"/>
      <c r="H13" s="235"/>
      <c r="I13" s="331" t="s">
        <v>148</v>
      </c>
      <c r="J13" s="540">
        <f>B21/B51</f>
        <v>0.39587450592885376</v>
      </c>
      <c r="K13" s="540">
        <f>C21/C51</f>
        <v>0.24960967472257325</v>
      </c>
      <c r="L13" s="540">
        <f>D21/D51</f>
        <v>0.21685729418669566</v>
      </c>
      <c r="M13" s="540">
        <f>E21/E51</f>
        <v>0.18087505050373409</v>
      </c>
      <c r="N13" s="541">
        <f>F21/F51</f>
        <v>0.21654813562272321</v>
      </c>
    </row>
    <row r="14" spans="1:14" x14ac:dyDescent="0.35">
      <c r="A14" s="328" t="s">
        <v>113</v>
      </c>
      <c r="B14" s="403">
        <v>392.03949999999998</v>
      </c>
      <c r="C14" s="404">
        <v>188.07839999999999</v>
      </c>
      <c r="D14" s="404">
        <v>426.34960000000007</v>
      </c>
      <c r="E14" s="404">
        <v>1075.9168</v>
      </c>
      <c r="F14" s="405">
        <v>114.2</v>
      </c>
      <c r="G14" s="219"/>
      <c r="H14" s="235"/>
      <c r="I14" s="331"/>
      <c r="J14" s="540"/>
      <c r="K14" s="540"/>
      <c r="L14" s="540"/>
      <c r="M14" s="540"/>
      <c r="N14" s="541"/>
    </row>
    <row r="15" spans="1:14" x14ac:dyDescent="0.35">
      <c r="A15" s="332" t="s">
        <v>136</v>
      </c>
      <c r="B15" s="403"/>
      <c r="C15" s="404"/>
      <c r="D15" s="404"/>
      <c r="E15" s="404"/>
      <c r="F15" s="405"/>
      <c r="G15" s="219"/>
      <c r="H15" s="235"/>
      <c r="I15" s="331" t="s">
        <v>149</v>
      </c>
      <c r="J15" s="540"/>
      <c r="K15" s="540"/>
      <c r="L15" s="540"/>
      <c r="M15" s="540"/>
      <c r="N15" s="541"/>
    </row>
    <row r="16" spans="1:14" x14ac:dyDescent="0.35">
      <c r="A16" s="328" t="s">
        <v>114</v>
      </c>
      <c r="B16" s="403">
        <v>28.646999999999998</v>
      </c>
      <c r="C16" s="369">
        <v>-191.25539999999998</v>
      </c>
      <c r="D16" s="369">
        <v>-166.31399999999999</v>
      </c>
      <c r="E16" s="369">
        <v>-348.8768</v>
      </c>
      <c r="F16" s="416">
        <v>-479.4</v>
      </c>
      <c r="G16" s="219"/>
      <c r="H16" s="235"/>
      <c r="I16" s="331" t="s">
        <v>156</v>
      </c>
      <c r="J16" s="540">
        <f>B21/B47</f>
        <v>11.741974877878576</v>
      </c>
      <c r="K16" s="540">
        <f>C21/C47</f>
        <v>10.204119850187267</v>
      </c>
      <c r="L16" s="540">
        <f>D21/D47</f>
        <v>6.9371493989696615</v>
      </c>
      <c r="M16" s="540">
        <f>E21/E47</f>
        <v>6.2711251694532333</v>
      </c>
      <c r="N16" s="541">
        <f>F21/F47</f>
        <v>7.260004168403503</v>
      </c>
    </row>
    <row r="17" spans="1:20" x14ac:dyDescent="0.35">
      <c r="A17" s="328" t="s">
        <v>115</v>
      </c>
      <c r="B17" s="415">
        <v>-5.1989000000000001</v>
      </c>
      <c r="C17" s="404">
        <v>47.549099999999996</v>
      </c>
      <c r="D17" s="404">
        <v>29.392600000000002</v>
      </c>
      <c r="E17" s="369">
        <v>-38.1952</v>
      </c>
      <c r="F17" s="416">
        <v>-1.9</v>
      </c>
      <c r="G17" s="219"/>
      <c r="H17" s="235"/>
      <c r="I17" s="331"/>
      <c r="J17" s="540"/>
      <c r="K17" s="540"/>
      <c r="L17" s="540"/>
      <c r="M17" s="540"/>
      <c r="N17" s="541"/>
      <c r="O17" s="24"/>
    </row>
    <row r="18" spans="1:20" x14ac:dyDescent="0.35">
      <c r="A18" s="328" t="s">
        <v>78</v>
      </c>
      <c r="B18" s="403">
        <v>-79.256699999999995</v>
      </c>
      <c r="C18" s="369">
        <v>-15.885</v>
      </c>
      <c r="D18" s="404">
        <v>93.930800000000005</v>
      </c>
      <c r="E18" s="369">
        <v>-61.132800000000003</v>
      </c>
      <c r="F18" s="405">
        <v>129.4</v>
      </c>
      <c r="G18" s="219"/>
      <c r="H18" s="235"/>
      <c r="I18" s="331" t="s">
        <v>150</v>
      </c>
      <c r="J18" s="540"/>
      <c r="K18" s="540"/>
      <c r="L18" s="540"/>
      <c r="M18" s="540"/>
      <c r="N18" s="541"/>
    </row>
    <row r="19" spans="1:20" x14ac:dyDescent="0.35">
      <c r="A19" s="328" t="s">
        <v>79</v>
      </c>
      <c r="B19" s="403">
        <v>3.5012999999999996</v>
      </c>
      <c r="C19" s="369">
        <v>-68.199600000000004</v>
      </c>
      <c r="D19" s="404">
        <v>177.50620000000001</v>
      </c>
      <c r="E19" s="369">
        <v>-405.91359999999997</v>
      </c>
      <c r="F19" s="416">
        <v>-33.4</v>
      </c>
      <c r="G19" s="219"/>
      <c r="H19" s="235"/>
      <c r="I19" s="331" t="s">
        <v>151</v>
      </c>
      <c r="J19" s="542">
        <f>B24/B21</f>
        <v>-0.38383478196270709</v>
      </c>
      <c r="K19" s="542">
        <f>C24/C21</f>
        <v>-0.27740564017862607</v>
      </c>
      <c r="L19" s="542">
        <f>D24/D21</f>
        <v>-0.30053138821044295</v>
      </c>
      <c r="M19" s="542">
        <f>E24/E21</f>
        <v>-0.33392779939472533</v>
      </c>
      <c r="N19" s="543">
        <f>F24/F21</f>
        <v>-0.39354357156185843</v>
      </c>
    </row>
    <row r="20" spans="1:20" x14ac:dyDescent="0.35">
      <c r="A20" s="328" t="s">
        <v>116</v>
      </c>
      <c r="B20" s="403">
        <v>-15.1723</v>
      </c>
      <c r="C20" s="404">
        <v>405.59699999999998</v>
      </c>
      <c r="D20" s="404">
        <v>40.166400000000003</v>
      </c>
      <c r="E20" s="369">
        <v>-149.9136</v>
      </c>
      <c r="F20" s="416">
        <v>-87.4</v>
      </c>
      <c r="G20" s="219"/>
      <c r="H20" s="333" t="s">
        <v>169</v>
      </c>
      <c r="I20" s="334" t="s">
        <v>152</v>
      </c>
      <c r="J20" s="544"/>
      <c r="K20" s="544"/>
      <c r="L20" s="544"/>
      <c r="M20" s="544"/>
      <c r="N20" s="545"/>
    </row>
    <row r="21" spans="1:20" x14ac:dyDescent="0.35">
      <c r="A21" s="335" t="s">
        <v>155</v>
      </c>
      <c r="B21" s="408">
        <f>SUM(B8:B20)</f>
        <v>7141.0604999999996</v>
      </c>
      <c r="C21" s="409">
        <f>SUM(C8:C20)</f>
        <v>6924.5891999999994</v>
      </c>
      <c r="D21" s="409">
        <f>SUM(D8:D20)</f>
        <v>6338.3415999999997</v>
      </c>
      <c r="E21" s="409">
        <f>SUM(E8:E20)</f>
        <v>5684.4288000000024</v>
      </c>
      <c r="F21" s="410">
        <f>SUM(F8:F20)</f>
        <v>6966.7000000000016</v>
      </c>
      <c r="G21" s="219"/>
      <c r="H21" s="333"/>
      <c r="I21" s="334" t="s">
        <v>153</v>
      </c>
      <c r="J21" s="544">
        <f>B21/B52</f>
        <v>1.2053846867984401</v>
      </c>
      <c r="K21" s="544">
        <f>C21/C52</f>
        <v>1.1688451293823741</v>
      </c>
      <c r="L21" s="544">
        <f>D21/D52</f>
        <v>1.0698886957108855</v>
      </c>
      <c r="M21" s="544">
        <f>E21/E52</f>
        <v>0.95951062572793444</v>
      </c>
      <c r="N21" s="545">
        <f>F21/F52</f>
        <v>1.1759532771804266</v>
      </c>
    </row>
    <row r="22" spans="1:20" x14ac:dyDescent="0.35">
      <c r="A22" s="336"/>
      <c r="B22" s="400"/>
      <c r="C22" s="401"/>
      <c r="D22" s="401"/>
      <c r="E22" s="401"/>
      <c r="F22" s="402"/>
      <c r="G22" s="219"/>
      <c r="H22" s="337" t="s">
        <v>170</v>
      </c>
      <c r="I22" s="338" t="s">
        <v>157</v>
      </c>
      <c r="J22" s="546"/>
      <c r="K22" s="546"/>
      <c r="L22" s="546"/>
      <c r="M22" s="546"/>
      <c r="N22" s="547"/>
    </row>
    <row r="23" spans="1:20" x14ac:dyDescent="0.35">
      <c r="A23" s="339" t="s">
        <v>117</v>
      </c>
      <c r="B23" s="459"/>
      <c r="C23" s="460"/>
      <c r="D23" s="460"/>
      <c r="E23" s="460"/>
      <c r="F23" s="461"/>
      <c r="G23" s="219"/>
      <c r="H23" s="337"/>
      <c r="I23" s="338" t="s">
        <v>160</v>
      </c>
      <c r="J23" s="546">
        <f>B21/B53</f>
        <v>0.19664070306245873</v>
      </c>
      <c r="K23" s="546">
        <f>C21/C53</f>
        <v>0.1723517147398303</v>
      </c>
      <c r="L23" s="546">
        <f>D21/D53</f>
        <v>0.19532038202804933</v>
      </c>
      <c r="M23" s="546">
        <f>E21/E53</f>
        <v>0.1642187097862069</v>
      </c>
      <c r="N23" s="547">
        <f>F21/F53</f>
        <v>0.21232688837957778</v>
      </c>
    </row>
    <row r="24" spans="1:20" x14ac:dyDescent="0.35">
      <c r="A24" s="340" t="s">
        <v>142</v>
      </c>
      <c r="B24" s="415">
        <v>-2740.9874</v>
      </c>
      <c r="C24" s="369">
        <v>-1920.9201</v>
      </c>
      <c r="D24" s="369">
        <v>-1904.8706</v>
      </c>
      <c r="E24" s="369">
        <v>-1898.1888000000001</v>
      </c>
      <c r="F24" s="416">
        <v>-2741.7</v>
      </c>
      <c r="G24" s="219"/>
      <c r="H24" s="337"/>
      <c r="I24" s="338"/>
      <c r="J24" s="546"/>
      <c r="K24" s="546"/>
      <c r="L24" s="546"/>
      <c r="M24" s="546"/>
      <c r="N24" s="547"/>
    </row>
    <row r="25" spans="1:20" x14ac:dyDescent="0.35">
      <c r="A25" s="340" t="s">
        <v>119</v>
      </c>
      <c r="B25" s="415">
        <v>-180.90049999999999</v>
      </c>
      <c r="C25" s="369">
        <v>-148.8954</v>
      </c>
      <c r="D25" s="369">
        <v>-114.53700000000001</v>
      </c>
      <c r="E25" s="369">
        <v>-78.847999999999999</v>
      </c>
      <c r="F25" s="416">
        <v>-101.7</v>
      </c>
      <c r="G25" s="219"/>
      <c r="H25" s="337"/>
      <c r="I25" s="338" t="s">
        <v>159</v>
      </c>
      <c r="J25" s="546"/>
      <c r="K25" s="546"/>
      <c r="L25" s="546"/>
      <c r="M25" s="546"/>
      <c r="N25" s="547"/>
    </row>
    <row r="26" spans="1:20" x14ac:dyDescent="0.35">
      <c r="A26" s="340" t="s">
        <v>118</v>
      </c>
      <c r="B26" s="459">
        <v>519.7838999999999</v>
      </c>
      <c r="C26" s="460">
        <v>586.89779999999996</v>
      </c>
      <c r="D26" s="460">
        <v>1020.4776000000001</v>
      </c>
      <c r="E26" s="460">
        <v>998.1952</v>
      </c>
      <c r="F26" s="461">
        <v>530.79999999999995</v>
      </c>
      <c r="G26" s="219"/>
      <c r="H26" s="337"/>
      <c r="I26" s="338" t="s">
        <v>158</v>
      </c>
      <c r="J26" s="546">
        <f>B21/B54</f>
        <v>0.52367465308846484</v>
      </c>
      <c r="K26" s="546">
        <f>C21/C54</f>
        <v>0.92265033353889592</v>
      </c>
      <c r="L26" s="542">
        <f>D21/D54</f>
        <v>-2.7480805011521108</v>
      </c>
      <c r="M26" s="542">
        <f>E21/E54</f>
        <v>-1.6984514064411487</v>
      </c>
      <c r="N26" s="543">
        <f>F21/F54</f>
        <v>-1.1131758916016874</v>
      </c>
    </row>
    <row r="27" spans="1:20" x14ac:dyDescent="0.35">
      <c r="A27" s="340" t="s">
        <v>120</v>
      </c>
      <c r="B27" s="462" t="s">
        <v>51</v>
      </c>
      <c r="C27" s="462" t="s">
        <v>51</v>
      </c>
      <c r="D27" s="462" t="s">
        <v>51</v>
      </c>
      <c r="E27" s="460">
        <v>1635.328</v>
      </c>
      <c r="F27" s="463" t="s">
        <v>51</v>
      </c>
      <c r="G27" s="219"/>
      <c r="H27" s="341" t="s">
        <v>171</v>
      </c>
      <c r="I27" s="342" t="s">
        <v>162</v>
      </c>
      <c r="J27" s="548"/>
      <c r="K27" s="548"/>
      <c r="L27" s="548"/>
      <c r="M27" s="548"/>
      <c r="N27" s="549"/>
    </row>
    <row r="28" spans="1:20" x14ac:dyDescent="0.35">
      <c r="A28" s="115" t="s">
        <v>121</v>
      </c>
      <c r="B28" s="462" t="s">
        <v>51</v>
      </c>
      <c r="C28" s="462" t="s">
        <v>51</v>
      </c>
      <c r="D28" s="460">
        <v>86.713400000000007</v>
      </c>
      <c r="E28" s="460">
        <v>170.8032</v>
      </c>
      <c r="F28" s="461">
        <v>160.4</v>
      </c>
      <c r="H28" s="107"/>
      <c r="I28" s="147" t="s">
        <v>161</v>
      </c>
      <c r="J28" s="550">
        <f>(B21+B37)/B52</f>
        <v>0.62940404773559744</v>
      </c>
      <c r="K28" s="550">
        <f>(C21+C37)/C52</f>
        <v>0.59141189676417449</v>
      </c>
      <c r="L28" s="550">
        <f>(D21+D37)/D52</f>
        <v>0.52993001704842757</v>
      </c>
      <c r="M28" s="550">
        <f>(E21+E37)/E52</f>
        <v>0.42555036038012972</v>
      </c>
      <c r="N28" s="551">
        <f>(F21+F37)/F52</f>
        <v>0.62636936009317579</v>
      </c>
    </row>
    <row r="29" spans="1:20" x14ac:dyDescent="0.35">
      <c r="A29" s="115" t="s">
        <v>113</v>
      </c>
      <c r="B29" s="415">
        <v>-43.394899999999993</v>
      </c>
      <c r="C29" s="369">
        <v>-20.862299999999998</v>
      </c>
      <c r="D29" s="369">
        <v>-114.53700000000001</v>
      </c>
      <c r="E29" s="369">
        <v>-251.80160000000001</v>
      </c>
      <c r="F29" s="416">
        <v>-302.89999999999998</v>
      </c>
      <c r="H29" s="107"/>
      <c r="I29" s="148"/>
      <c r="J29" s="548"/>
      <c r="K29" s="548"/>
      <c r="L29" s="548"/>
      <c r="M29" s="548"/>
      <c r="N29" s="549"/>
      <c r="S29" s="32"/>
      <c r="T29" s="32"/>
    </row>
    <row r="30" spans="1:20" x14ac:dyDescent="0.35">
      <c r="A30" s="96" t="s">
        <v>122</v>
      </c>
      <c r="B30" s="464">
        <f>SUM(B24:B29)</f>
        <v>-2445.4989</v>
      </c>
      <c r="C30" s="465">
        <f>SUM(C24:C29)</f>
        <v>-1503.7800000000002</v>
      </c>
      <c r="D30" s="465">
        <f>SUM(D24:D29)</f>
        <v>-1026.7536</v>
      </c>
      <c r="E30" s="465">
        <f>SUM(E24:E29)</f>
        <v>575.48799999999983</v>
      </c>
      <c r="F30" s="466">
        <f>SUM(F24:F29)</f>
        <v>-2455.0999999999995</v>
      </c>
      <c r="H30" s="108"/>
      <c r="I30" s="147" t="s">
        <v>163</v>
      </c>
      <c r="J30" s="548"/>
      <c r="K30" s="548"/>
      <c r="L30" s="548"/>
      <c r="M30" s="548"/>
      <c r="N30" s="549"/>
      <c r="S30" s="32"/>
      <c r="T30" s="32"/>
    </row>
    <row r="31" spans="1:20" x14ac:dyDescent="0.35">
      <c r="A31" s="114"/>
      <c r="B31" s="400"/>
      <c r="C31" s="401"/>
      <c r="D31" s="401"/>
      <c r="E31" s="401"/>
      <c r="F31" s="402"/>
      <c r="H31" s="107"/>
      <c r="I31" s="147" t="s">
        <v>164</v>
      </c>
      <c r="J31" s="550">
        <f>B21/(-(B37))</f>
        <v>2.092752091041945</v>
      </c>
      <c r="K31" s="550">
        <f>C21/(-(C37))</f>
        <v>2.0242082778689281</v>
      </c>
      <c r="L31" s="550">
        <f>D21/(-(D37))</f>
        <v>1.9814269831927278</v>
      </c>
      <c r="M31" s="550">
        <f>E21/(-(E37))</f>
        <v>1.7969700893435201</v>
      </c>
      <c r="N31" s="551">
        <f>F21/(-(F37))</f>
        <v>2.1397155932307506</v>
      </c>
      <c r="S31" s="32"/>
      <c r="T31" s="32"/>
    </row>
    <row r="32" spans="1:20" x14ac:dyDescent="0.35">
      <c r="A32" s="116" t="s">
        <v>129</v>
      </c>
      <c r="B32" s="467"/>
      <c r="C32" s="468"/>
      <c r="D32" s="468"/>
      <c r="E32" s="468"/>
      <c r="F32" s="469"/>
      <c r="H32" s="107"/>
      <c r="I32" s="147" t="s">
        <v>166</v>
      </c>
      <c r="J32" s="550">
        <f>B52/(-(B37))</f>
        <v>1.7361694685207887</v>
      </c>
      <c r="K32" s="550">
        <f>C52/(-(C37))</f>
        <v>1.7318019530427731</v>
      </c>
      <c r="L32" s="550">
        <f>D52/(-(D37))</f>
        <v>1.8519935682432576</v>
      </c>
      <c r="M32" s="550">
        <f>E52/(-(E37))</f>
        <v>1.8727985299592129</v>
      </c>
      <c r="N32" s="551">
        <f>F52/(-(F37))</f>
        <v>1.8195583402438651</v>
      </c>
      <c r="S32" s="32"/>
      <c r="T32" s="32"/>
    </row>
    <row r="33" spans="1:14" x14ac:dyDescent="0.35">
      <c r="A33" s="117" t="s">
        <v>123</v>
      </c>
      <c r="B33" s="467">
        <v>541.53439999999989</v>
      </c>
      <c r="C33" s="468">
        <v>624.4923</v>
      </c>
      <c r="D33" s="369">
        <v>-299.36520000000002</v>
      </c>
      <c r="E33" s="369">
        <v>-1075.5072</v>
      </c>
      <c r="F33" s="469">
        <v>95.9</v>
      </c>
      <c r="H33" s="109" t="s">
        <v>172</v>
      </c>
      <c r="I33" s="149" t="s">
        <v>223</v>
      </c>
      <c r="J33" s="552"/>
      <c r="K33" s="552"/>
      <c r="L33" s="552"/>
      <c r="M33" s="552"/>
      <c r="N33" s="553"/>
    </row>
    <row r="34" spans="1:14" ht="15" thickBot="1" x14ac:dyDescent="0.4">
      <c r="A34" s="117" t="s">
        <v>124</v>
      </c>
      <c r="B34" s="467">
        <v>1634.5765999999999</v>
      </c>
      <c r="C34" s="468">
        <v>10822.98</v>
      </c>
      <c r="D34" s="470">
        <v>3953.357</v>
      </c>
      <c r="E34" s="470">
        <v>4840.96</v>
      </c>
      <c r="F34" s="471">
        <v>3794.5</v>
      </c>
      <c r="H34" s="110"/>
      <c r="I34" s="150" t="s">
        <v>165</v>
      </c>
      <c r="J34" s="554">
        <f>B21/B55</f>
        <v>7.8309688562342356E-2</v>
      </c>
      <c r="K34" s="554">
        <f>C21/C55</f>
        <v>6.3832865044247789E-2</v>
      </c>
      <c r="L34" s="554">
        <f>D21/D55</f>
        <v>6.2706189157103284E-2</v>
      </c>
      <c r="M34" s="554">
        <f>E21/E55</f>
        <v>4.1428677210115901E-2</v>
      </c>
      <c r="N34" s="555">
        <f>F21/F55</f>
        <v>5.0892687559354235E-2</v>
      </c>
    </row>
    <row r="35" spans="1:14" x14ac:dyDescent="0.35">
      <c r="A35" s="117" t="s">
        <v>125</v>
      </c>
      <c r="B35" s="415">
        <v>-581.53409999999997</v>
      </c>
      <c r="C35" s="369">
        <v>-1116.7155</v>
      </c>
      <c r="D35" s="369">
        <v>-860.75340000000006</v>
      </c>
      <c r="E35" s="369">
        <v>-1688.9856000000002</v>
      </c>
      <c r="F35" s="416">
        <v>-1759.6</v>
      </c>
    </row>
    <row r="36" spans="1:14" x14ac:dyDescent="0.35">
      <c r="A36" s="117" t="s">
        <v>126</v>
      </c>
      <c r="B36" s="415">
        <v>-3393.7145999999998</v>
      </c>
      <c r="C36" s="369">
        <v>-6459.0527999999995</v>
      </c>
      <c r="D36" s="369">
        <v>-11684.866</v>
      </c>
      <c r="E36" s="369">
        <v>-4798.1567999999997</v>
      </c>
      <c r="F36" s="416">
        <v>-5207.7</v>
      </c>
      <c r="H36" s="32"/>
      <c r="I36" s="32"/>
      <c r="J36" s="32"/>
      <c r="K36" s="32"/>
    </row>
    <row r="37" spans="1:14" x14ac:dyDescent="0.35">
      <c r="A37" s="116" t="s">
        <v>127</v>
      </c>
      <c r="B37" s="439">
        <v>-3412.2820999999999</v>
      </c>
      <c r="C37" s="417">
        <v>-3420.8877000000002</v>
      </c>
      <c r="D37" s="417">
        <v>-3198.8771999999999</v>
      </c>
      <c r="E37" s="417">
        <v>-3163.3407999999999</v>
      </c>
      <c r="F37" s="418">
        <v>-3255.9</v>
      </c>
      <c r="J37" s="638">
        <v>1.0609999999999999</v>
      </c>
    </row>
    <row r="38" spans="1:14" x14ac:dyDescent="0.35">
      <c r="A38" s="117" t="s">
        <v>128</v>
      </c>
      <c r="B38" s="467">
        <v>249.7594</v>
      </c>
      <c r="C38" s="468">
        <v>335.91479999999996</v>
      </c>
      <c r="D38" s="468">
        <v>313.17239999999998</v>
      </c>
      <c r="E38" s="468">
        <v>467.76320000000004</v>
      </c>
      <c r="F38" s="469">
        <v>403.2</v>
      </c>
      <c r="J38" s="638">
        <v>1.0589999999999999</v>
      </c>
    </row>
    <row r="39" spans="1:14" x14ac:dyDescent="0.35">
      <c r="A39" s="117" t="s">
        <v>141</v>
      </c>
      <c r="B39" s="467">
        <v>75.224900000000005</v>
      </c>
      <c r="C39" s="468">
        <v>54.114899999999999</v>
      </c>
      <c r="D39" s="472" t="s">
        <v>51</v>
      </c>
      <c r="E39" s="472" t="s">
        <v>51</v>
      </c>
      <c r="F39" s="472" t="s">
        <v>51</v>
      </c>
      <c r="J39" s="638">
        <v>1.046</v>
      </c>
    </row>
    <row r="40" spans="1:14" x14ac:dyDescent="0.35">
      <c r="A40" s="117" t="s">
        <v>113</v>
      </c>
      <c r="B40" s="415">
        <v>-13.5808</v>
      </c>
      <c r="C40" s="369">
        <v>-62.1633</v>
      </c>
      <c r="D40" s="369">
        <v>-3.1379999999999999</v>
      </c>
      <c r="E40" s="369">
        <v>-20.992000000000001</v>
      </c>
      <c r="F40" s="416">
        <v>-20</v>
      </c>
      <c r="J40" s="638">
        <v>1.024</v>
      </c>
    </row>
    <row r="41" spans="1:14" x14ac:dyDescent="0.35">
      <c r="A41" s="118" t="s">
        <v>130</v>
      </c>
      <c r="B41" s="439">
        <f>SUM(B33:B40)</f>
        <v>-4900.0162999999993</v>
      </c>
      <c r="C41" s="473">
        <f>SUM(C33:C40)</f>
        <v>778.6826999999995</v>
      </c>
      <c r="D41" s="417">
        <f>SUM(D33:D40)</f>
        <v>-11780.4704</v>
      </c>
      <c r="E41" s="417">
        <f>SUM(E33:E40)</f>
        <v>-5438.2591999999995</v>
      </c>
      <c r="F41" s="418">
        <f>SUM(F33:F40)</f>
        <v>-5949.5999999999995</v>
      </c>
      <c r="J41" s="638">
        <v>1</v>
      </c>
    </row>
    <row r="42" spans="1:14" x14ac:dyDescent="0.35">
      <c r="A42" s="119" t="s">
        <v>131</v>
      </c>
      <c r="B42" s="415">
        <v>-560.1019</v>
      </c>
      <c r="C42" s="369">
        <v>-261.3612</v>
      </c>
      <c r="D42" s="369">
        <v>-108.47020000000001</v>
      </c>
      <c r="E42" s="449">
        <v>270.33600000000001</v>
      </c>
      <c r="F42" s="416">
        <v>-159.80000000000001</v>
      </c>
      <c r="I42" s="32"/>
      <c r="J42" s="640"/>
      <c r="K42" s="34"/>
      <c r="L42" s="83"/>
      <c r="M42" s="72"/>
      <c r="N42" s="72"/>
    </row>
    <row r="43" spans="1:14" x14ac:dyDescent="0.35">
      <c r="A43" s="120" t="s">
        <v>132</v>
      </c>
      <c r="B43" s="415">
        <v>-764.76879999999994</v>
      </c>
      <c r="C43" s="404">
        <v>5938.4484000000002</v>
      </c>
      <c r="D43" s="369">
        <v>-6577.3526000000011</v>
      </c>
      <c r="E43" s="404">
        <v>1091.9936</v>
      </c>
      <c r="F43" s="416">
        <v>-1597.8</v>
      </c>
      <c r="K43" s="34"/>
      <c r="L43" s="83"/>
    </row>
    <row r="44" spans="1:14" x14ac:dyDescent="0.35">
      <c r="A44" s="120" t="s">
        <v>133</v>
      </c>
      <c r="B44" s="406" t="s">
        <v>51</v>
      </c>
      <c r="C44" s="407" t="s">
        <v>51</v>
      </c>
      <c r="D44" s="369">
        <v>-182.00400000000002</v>
      </c>
      <c r="E44" s="404">
        <v>178.17600000000002</v>
      </c>
      <c r="F44" s="411" t="s">
        <v>51</v>
      </c>
      <c r="K44" s="34"/>
      <c r="L44" s="83"/>
    </row>
    <row r="45" spans="1:14" x14ac:dyDescent="0.35">
      <c r="A45" s="120" t="s">
        <v>134</v>
      </c>
      <c r="B45" s="403">
        <v>2969.4206999999997</v>
      </c>
      <c r="C45" s="404">
        <v>2200.4960999999998</v>
      </c>
      <c r="D45" s="404">
        <v>8039.0330000000004</v>
      </c>
      <c r="E45" s="404">
        <v>1252.7616</v>
      </c>
      <c r="F45" s="405">
        <v>2463.8000000000002</v>
      </c>
      <c r="H45" s="32"/>
      <c r="I45" s="32"/>
      <c r="J45" s="32"/>
      <c r="K45" s="34"/>
      <c r="L45" s="83"/>
    </row>
    <row r="46" spans="1:14" x14ac:dyDescent="0.35">
      <c r="A46" s="113" t="s">
        <v>135</v>
      </c>
      <c r="B46" s="408">
        <f>SUM(B43:B45)</f>
        <v>2204.6518999999998</v>
      </c>
      <c r="C46" s="409">
        <f>SUM(C43:C45)</f>
        <v>8138.9444999999996</v>
      </c>
      <c r="D46" s="409">
        <f>SUM(D43:D45)</f>
        <v>1279.6763999999994</v>
      </c>
      <c r="E46" s="409">
        <f>SUM(E43:E45)</f>
        <v>2522.9312</v>
      </c>
      <c r="F46" s="410">
        <f>SUM(F43:F45)</f>
        <v>866.00000000000023</v>
      </c>
      <c r="K46" s="34"/>
      <c r="L46" s="83"/>
    </row>
    <row r="47" spans="1:14" x14ac:dyDescent="0.35">
      <c r="A47" s="98" t="s">
        <v>139</v>
      </c>
      <c r="B47" s="474">
        <v>608.16520000000003</v>
      </c>
      <c r="C47" s="446">
        <v>678.60719999999992</v>
      </c>
      <c r="D47" s="446">
        <v>913.68100000000004</v>
      </c>
      <c r="E47" s="446">
        <v>906.4448000000001</v>
      </c>
      <c r="F47" s="475">
        <v>959.6</v>
      </c>
      <c r="J47" s="72"/>
      <c r="K47" s="81"/>
      <c r="L47" s="83"/>
      <c r="M47" s="72"/>
      <c r="N47" s="72"/>
    </row>
    <row r="48" spans="1:14" x14ac:dyDescent="0.35">
      <c r="A48" s="98" t="s">
        <v>140</v>
      </c>
      <c r="B48" s="474">
        <v>2533.9863</v>
      </c>
      <c r="C48" s="446">
        <v>2102.5385999999999</v>
      </c>
      <c r="D48" s="446">
        <v>2497.3250000000003</v>
      </c>
      <c r="E48" s="446">
        <v>2853.1712000000002</v>
      </c>
      <c r="F48" s="475">
        <v>1734.4</v>
      </c>
      <c r="J48" s="72"/>
      <c r="K48" s="34"/>
      <c r="L48" s="83"/>
      <c r="M48" s="72"/>
      <c r="N48" s="72"/>
    </row>
    <row r="49" spans="1:14" x14ac:dyDescent="0.35">
      <c r="A49" s="121" t="s">
        <v>239</v>
      </c>
      <c r="B49" s="424"/>
      <c r="C49" s="383"/>
      <c r="D49" s="383"/>
      <c r="E49" s="383"/>
      <c r="F49" s="425"/>
      <c r="J49" s="72"/>
      <c r="K49" s="34"/>
      <c r="L49" s="83"/>
      <c r="M49" s="72"/>
      <c r="N49" s="72"/>
    </row>
    <row r="50" spans="1:14" x14ac:dyDescent="0.35">
      <c r="A50" s="122" t="s">
        <v>34</v>
      </c>
      <c r="B50" s="476">
        <v>29107.117291413226</v>
      </c>
      <c r="C50" s="477">
        <v>26923.732015003145</v>
      </c>
      <c r="D50" s="477">
        <v>25760.62966205152</v>
      </c>
      <c r="E50" s="477">
        <v>23377.78305646214</v>
      </c>
      <c r="F50" s="478">
        <v>21025.200000000001</v>
      </c>
      <c r="J50" s="72"/>
      <c r="K50" s="34"/>
      <c r="L50" s="83"/>
      <c r="M50" s="72"/>
      <c r="N50" s="72"/>
    </row>
    <row r="51" spans="1:14" x14ac:dyDescent="0.35">
      <c r="A51" s="123" t="s">
        <v>154</v>
      </c>
      <c r="B51" s="431">
        <v>18038.6976</v>
      </c>
      <c r="C51" s="432">
        <v>27741.669899999994</v>
      </c>
      <c r="D51" s="432">
        <v>29228.168799999999</v>
      </c>
      <c r="E51" s="432">
        <v>31427.379199999999</v>
      </c>
      <c r="F51" s="433">
        <v>32171.599999999999</v>
      </c>
      <c r="H51" s="493"/>
      <c r="J51" s="72"/>
      <c r="K51" s="34"/>
      <c r="L51" s="83"/>
      <c r="M51" s="72"/>
      <c r="N51" s="72"/>
    </row>
    <row r="52" spans="1:14" x14ac:dyDescent="0.35">
      <c r="A52" s="124" t="s">
        <v>47</v>
      </c>
      <c r="B52" s="428">
        <v>5924.3</v>
      </c>
      <c r="C52" s="429">
        <v>5924.3</v>
      </c>
      <c r="D52" s="429">
        <v>5924.3</v>
      </c>
      <c r="E52" s="429">
        <v>5924.3</v>
      </c>
      <c r="F52" s="430">
        <v>5924.3</v>
      </c>
      <c r="J52" s="72"/>
      <c r="K52" s="34"/>
      <c r="L52" s="83"/>
      <c r="M52" s="72"/>
      <c r="N52" s="72"/>
    </row>
    <row r="53" spans="1:14" x14ac:dyDescent="0.35">
      <c r="A53" s="125" t="s">
        <v>74</v>
      </c>
      <c r="B53" s="479">
        <v>36315.271399999998</v>
      </c>
      <c r="C53" s="480">
        <v>40177.083299999998</v>
      </c>
      <c r="D53" s="480">
        <v>32450.999400000001</v>
      </c>
      <c r="E53" s="480">
        <v>34614.988799999999</v>
      </c>
      <c r="F53" s="481">
        <v>32811.199999999997</v>
      </c>
      <c r="I53" s="492"/>
      <c r="J53" s="72"/>
      <c r="K53" s="34"/>
      <c r="L53" s="83"/>
      <c r="M53" s="72"/>
      <c r="N53" s="72"/>
    </row>
    <row r="54" spans="1:14" x14ac:dyDescent="0.35">
      <c r="A54" s="126" t="s">
        <v>93</v>
      </c>
      <c r="B54" s="397">
        <v>13636.444799999997</v>
      </c>
      <c r="C54" s="398">
        <v>7505.1066999999966</v>
      </c>
      <c r="D54" s="398">
        <v>-2306.4614000000001</v>
      </c>
      <c r="E54" s="398">
        <v>-3346.8304000000062</v>
      </c>
      <c r="F54" s="399">
        <v>-6258.4000000000015</v>
      </c>
      <c r="H54" s="494"/>
      <c r="J54" s="72"/>
      <c r="K54" s="26"/>
      <c r="L54" s="83"/>
      <c r="M54" s="72"/>
      <c r="N54" s="72"/>
    </row>
    <row r="55" spans="1:14" x14ac:dyDescent="0.35">
      <c r="A55" s="127" t="s">
        <v>174</v>
      </c>
      <c r="B55" s="464">
        <v>91190</v>
      </c>
      <c r="C55" s="496" t="s">
        <v>295</v>
      </c>
      <c r="D55" s="496" t="s">
        <v>296</v>
      </c>
      <c r="E55" s="496" t="s">
        <v>297</v>
      </c>
      <c r="F55" s="497" t="s">
        <v>298</v>
      </c>
      <c r="H55" s="495"/>
      <c r="J55" s="72"/>
      <c r="K55" s="35"/>
      <c r="L55" s="83"/>
      <c r="M55" s="72"/>
      <c r="N55" s="72"/>
    </row>
    <row r="56" spans="1:14" ht="15" thickBot="1" x14ac:dyDescent="0.4">
      <c r="A56" s="128" t="s">
        <v>173</v>
      </c>
      <c r="B56" s="138"/>
      <c r="C56" s="139"/>
      <c r="D56" s="139"/>
      <c r="E56" s="139"/>
      <c r="F56" s="140"/>
      <c r="H56" s="490"/>
      <c r="J56" s="72"/>
      <c r="K56" s="34"/>
      <c r="L56" s="83"/>
      <c r="M56" s="72"/>
      <c r="N56" s="72"/>
    </row>
    <row r="57" spans="1:14" x14ac:dyDescent="0.35">
      <c r="H57" s="490"/>
      <c r="I57" s="491"/>
      <c r="J57" s="72"/>
      <c r="K57" s="34"/>
      <c r="L57" s="83"/>
      <c r="M57" s="72"/>
      <c r="N57" s="72"/>
    </row>
    <row r="58" spans="1:14" x14ac:dyDescent="0.35">
      <c r="J58" s="72"/>
      <c r="K58" s="34"/>
      <c r="L58" s="83"/>
      <c r="M58" s="72"/>
      <c r="N58" s="72"/>
    </row>
    <row r="59" spans="1:14" ht="15" thickBot="1" x14ac:dyDescent="0.4">
      <c r="A59" s="27" t="s">
        <v>256</v>
      </c>
      <c r="B59" s="1"/>
      <c r="C59" s="1"/>
      <c r="D59" s="1"/>
      <c r="E59" s="1"/>
      <c r="F59" s="1"/>
      <c r="J59" s="72"/>
      <c r="K59" s="81"/>
      <c r="L59" s="83"/>
      <c r="M59" s="72"/>
      <c r="N59" s="72"/>
    </row>
    <row r="60" spans="1:14" x14ac:dyDescent="0.35">
      <c r="A60" s="797" t="s">
        <v>56</v>
      </c>
      <c r="B60" s="784" t="s">
        <v>33</v>
      </c>
      <c r="C60" s="785"/>
      <c r="D60" s="785"/>
      <c r="E60" s="785"/>
      <c r="F60" s="793"/>
      <c r="J60" s="72"/>
      <c r="K60" s="34"/>
      <c r="L60" s="83"/>
      <c r="M60" s="72"/>
      <c r="N60" s="72"/>
    </row>
    <row r="61" spans="1:14" ht="15" thickBot="1" x14ac:dyDescent="0.4">
      <c r="A61" s="798"/>
      <c r="B61" s="100">
        <v>2014</v>
      </c>
      <c r="C61" s="101">
        <v>2015</v>
      </c>
      <c r="D61" s="101">
        <v>2016</v>
      </c>
      <c r="E61" s="101">
        <v>2017</v>
      </c>
      <c r="F61" s="102">
        <v>2018</v>
      </c>
      <c r="J61" s="72"/>
      <c r="K61" s="81"/>
      <c r="L61" s="83"/>
      <c r="M61" s="72"/>
      <c r="N61" s="72"/>
    </row>
    <row r="62" spans="1:14" x14ac:dyDescent="0.35">
      <c r="A62" s="130" t="s">
        <v>110</v>
      </c>
      <c r="B62" s="141"/>
      <c r="C62" s="142"/>
      <c r="D62" s="142"/>
      <c r="E62" s="142"/>
      <c r="F62" s="143"/>
      <c r="J62" s="72"/>
      <c r="K62" s="81"/>
      <c r="L62" s="83"/>
      <c r="M62" s="72"/>
      <c r="N62" s="72"/>
    </row>
    <row r="63" spans="1:14" x14ac:dyDescent="0.35">
      <c r="A63" s="131" t="s">
        <v>47</v>
      </c>
      <c r="B63" s="424">
        <v>4757.8</v>
      </c>
      <c r="C63" s="383">
        <v>4529.3</v>
      </c>
      <c r="D63" s="383">
        <v>4686.5</v>
      </c>
      <c r="E63" s="383">
        <v>5192.3</v>
      </c>
      <c r="F63" s="425">
        <v>5924.3</v>
      </c>
      <c r="J63" s="72"/>
      <c r="K63" s="34"/>
      <c r="L63" s="83"/>
      <c r="M63" s="72"/>
      <c r="N63" s="72"/>
    </row>
    <row r="64" spans="1:14" x14ac:dyDescent="0.35">
      <c r="A64" s="132" t="s">
        <v>111</v>
      </c>
      <c r="B64" s="424"/>
      <c r="C64" s="383"/>
      <c r="D64" s="383"/>
      <c r="E64" s="383"/>
      <c r="F64" s="425"/>
      <c r="J64" s="72"/>
      <c r="K64" s="35"/>
      <c r="L64" s="83"/>
      <c r="M64" s="72"/>
      <c r="N64" s="72"/>
    </row>
    <row r="65" spans="1:14" x14ac:dyDescent="0.35">
      <c r="A65" s="131" t="s">
        <v>112</v>
      </c>
      <c r="B65" s="424">
        <v>1644.5</v>
      </c>
      <c r="C65" s="383">
        <v>1555.7</v>
      </c>
      <c r="D65" s="383">
        <v>1516.5</v>
      </c>
      <c r="E65" s="383">
        <v>1363.4</v>
      </c>
      <c r="F65" s="425">
        <v>1482</v>
      </c>
      <c r="J65" s="72"/>
      <c r="K65" s="34"/>
      <c r="L65" s="83"/>
      <c r="M65" s="72"/>
      <c r="N65" s="72"/>
    </row>
    <row r="66" spans="1:14" x14ac:dyDescent="0.35">
      <c r="A66" s="131" t="s">
        <v>86</v>
      </c>
      <c r="B66" s="424">
        <v>-90.7</v>
      </c>
      <c r="C66" s="383">
        <v>-1.4</v>
      </c>
      <c r="D66" s="383">
        <v>-538.6</v>
      </c>
      <c r="E66" s="383">
        <v>-36.4</v>
      </c>
      <c r="F66" s="425">
        <v>102.6</v>
      </c>
      <c r="J66" s="72"/>
      <c r="K66" s="84"/>
      <c r="L66" s="83"/>
      <c r="M66" s="72"/>
      <c r="N66" s="72"/>
    </row>
    <row r="67" spans="1:14" x14ac:dyDescent="0.35">
      <c r="A67" s="131" t="s">
        <v>137</v>
      </c>
      <c r="B67" s="424">
        <v>112.8</v>
      </c>
      <c r="C67" s="383">
        <v>110</v>
      </c>
      <c r="D67" s="383">
        <v>131.30000000000001</v>
      </c>
      <c r="E67" s="383">
        <v>117.5</v>
      </c>
      <c r="F67" s="425">
        <v>125.1</v>
      </c>
      <c r="J67" s="72"/>
      <c r="K67" s="34"/>
      <c r="L67" s="83"/>
      <c r="M67" s="72"/>
      <c r="N67" s="72"/>
    </row>
    <row r="68" spans="1:14" x14ac:dyDescent="0.35">
      <c r="A68" s="131" t="s">
        <v>138</v>
      </c>
      <c r="B68" s="426" t="s">
        <v>51</v>
      </c>
      <c r="C68" s="427" t="s">
        <v>51</v>
      </c>
      <c r="D68" s="383">
        <v>-310.7</v>
      </c>
      <c r="E68" s="383">
        <v>-1155.8</v>
      </c>
      <c r="F68" s="425">
        <v>-308.8</v>
      </c>
      <c r="J68" s="72"/>
      <c r="K68" s="34"/>
      <c r="L68" s="83"/>
      <c r="M68" s="72"/>
      <c r="N68" s="72"/>
    </row>
    <row r="69" spans="1:14" x14ac:dyDescent="0.35">
      <c r="A69" s="131" t="s">
        <v>113</v>
      </c>
      <c r="B69" s="424">
        <v>369.5</v>
      </c>
      <c r="C69" s="383">
        <v>177.6</v>
      </c>
      <c r="D69" s="383">
        <v>407.6</v>
      </c>
      <c r="E69" s="383">
        <v>1050.7</v>
      </c>
      <c r="F69" s="425">
        <v>114.2</v>
      </c>
      <c r="K69" s="34"/>
      <c r="L69" s="83"/>
    </row>
    <row r="70" spans="1:14" x14ac:dyDescent="0.35">
      <c r="A70" s="133" t="s">
        <v>136</v>
      </c>
      <c r="B70" s="424"/>
      <c r="C70" s="383"/>
      <c r="D70" s="383"/>
      <c r="E70" s="383"/>
      <c r="F70" s="425"/>
      <c r="K70" s="34"/>
      <c r="L70" s="83"/>
    </row>
    <row r="71" spans="1:14" x14ac:dyDescent="0.35">
      <c r="A71" s="131" t="s">
        <v>114</v>
      </c>
      <c r="B71" s="424">
        <v>27</v>
      </c>
      <c r="C71" s="383">
        <v>-180.6</v>
      </c>
      <c r="D71" s="383">
        <v>-159</v>
      </c>
      <c r="E71" s="383">
        <v>-340.7</v>
      </c>
      <c r="F71" s="425">
        <v>-479.4</v>
      </c>
      <c r="K71" s="81"/>
      <c r="L71" s="83"/>
    </row>
    <row r="72" spans="1:14" x14ac:dyDescent="0.35">
      <c r="A72" s="131" t="s">
        <v>115</v>
      </c>
      <c r="B72" s="424">
        <v>-4.9000000000000004</v>
      </c>
      <c r="C72" s="383">
        <v>44.9</v>
      </c>
      <c r="D72" s="383">
        <v>28.1</v>
      </c>
      <c r="E72" s="383">
        <v>-37.299999999999997</v>
      </c>
      <c r="F72" s="425">
        <v>-1.9</v>
      </c>
      <c r="K72" s="34"/>
      <c r="L72" s="83"/>
    </row>
    <row r="73" spans="1:14" x14ac:dyDescent="0.35">
      <c r="A73" s="131" t="s">
        <v>78</v>
      </c>
      <c r="B73" s="424">
        <v>-74.7</v>
      </c>
      <c r="C73" s="383">
        <v>-15</v>
      </c>
      <c r="D73" s="383">
        <v>89.8</v>
      </c>
      <c r="E73" s="383">
        <v>-59.7</v>
      </c>
      <c r="F73" s="425">
        <v>129.4</v>
      </c>
      <c r="K73" s="34"/>
      <c r="L73" s="83"/>
    </row>
    <row r="74" spans="1:14" x14ac:dyDescent="0.35">
      <c r="A74" s="131" t="s">
        <v>79</v>
      </c>
      <c r="B74" s="424">
        <v>3.3</v>
      </c>
      <c r="C74" s="383">
        <v>-64.400000000000006</v>
      </c>
      <c r="D74" s="383">
        <v>169.7</v>
      </c>
      <c r="E74" s="383">
        <v>-396.4</v>
      </c>
      <c r="F74" s="425">
        <v>-33.4</v>
      </c>
      <c r="K74" s="34"/>
      <c r="L74" s="83"/>
    </row>
    <row r="75" spans="1:14" x14ac:dyDescent="0.35">
      <c r="A75" s="131" t="s">
        <v>116</v>
      </c>
      <c r="B75" s="424">
        <v>-14.3</v>
      </c>
      <c r="C75" s="383">
        <v>383</v>
      </c>
      <c r="D75" s="383">
        <v>38.4</v>
      </c>
      <c r="E75" s="383">
        <v>-146.4</v>
      </c>
      <c r="F75" s="425">
        <v>-87.4</v>
      </c>
      <c r="K75" s="34"/>
      <c r="L75" s="83"/>
    </row>
    <row r="76" spans="1:14" x14ac:dyDescent="0.35">
      <c r="A76" s="113" t="s">
        <v>155</v>
      </c>
      <c r="B76" s="408">
        <f>SUM(B63:B75)</f>
        <v>6730.3000000000011</v>
      </c>
      <c r="C76" s="409">
        <f>SUM(C63:C75)</f>
        <v>6539.1</v>
      </c>
      <c r="D76" s="409">
        <f t="shared" ref="D76:E76" si="0">SUM(D63:D75)</f>
        <v>6059.6</v>
      </c>
      <c r="E76" s="409">
        <f t="shared" si="0"/>
        <v>5551.2000000000016</v>
      </c>
      <c r="F76" s="410">
        <f>SUM(F63:F75)</f>
        <v>6966.7000000000016</v>
      </c>
      <c r="K76" s="34"/>
      <c r="L76" s="83"/>
    </row>
    <row r="77" spans="1:14" x14ac:dyDescent="0.35">
      <c r="A77" s="103"/>
      <c r="B77" s="424"/>
      <c r="C77" s="383"/>
      <c r="D77" s="383"/>
      <c r="E77" s="383"/>
      <c r="F77" s="425"/>
      <c r="K77" s="34"/>
      <c r="L77" s="83"/>
    </row>
    <row r="78" spans="1:14" x14ac:dyDescent="0.35">
      <c r="A78" s="133" t="s">
        <v>117</v>
      </c>
      <c r="B78" s="424"/>
      <c r="C78" s="383"/>
      <c r="D78" s="383"/>
      <c r="E78" s="383"/>
      <c r="F78" s="425"/>
      <c r="K78" s="85"/>
      <c r="L78" s="83"/>
    </row>
    <row r="79" spans="1:14" x14ac:dyDescent="0.35">
      <c r="A79" s="103" t="s">
        <v>142</v>
      </c>
      <c r="B79" s="424">
        <v>-2583.4</v>
      </c>
      <c r="C79" s="383">
        <v>-1813.9</v>
      </c>
      <c r="D79" s="383">
        <v>-1821.1</v>
      </c>
      <c r="E79" s="383">
        <v>-1853.7</v>
      </c>
      <c r="F79" s="425">
        <v>-2741.7</v>
      </c>
      <c r="K79" s="34"/>
      <c r="L79" s="83"/>
    </row>
    <row r="80" spans="1:14" x14ac:dyDescent="0.35">
      <c r="A80" s="103" t="s">
        <v>119</v>
      </c>
      <c r="B80" s="532">
        <v>-170.5</v>
      </c>
      <c r="C80" s="533">
        <v>-140.6</v>
      </c>
      <c r="D80" s="533">
        <v>-109.5</v>
      </c>
      <c r="E80" s="533">
        <v>-77</v>
      </c>
      <c r="F80" s="425">
        <v>-101.7</v>
      </c>
      <c r="K80" s="86"/>
      <c r="L80" s="83"/>
    </row>
    <row r="81" spans="1:12" x14ac:dyDescent="0.35">
      <c r="A81" s="103" t="s">
        <v>118</v>
      </c>
      <c r="B81" s="424">
        <v>489.9</v>
      </c>
      <c r="C81" s="427">
        <v>554.20000000000005</v>
      </c>
      <c r="D81" s="383">
        <v>975.6</v>
      </c>
      <c r="E81" s="383">
        <v>974.8</v>
      </c>
      <c r="F81" s="425">
        <v>530.79999999999995</v>
      </c>
      <c r="K81" s="34"/>
      <c r="L81" s="83"/>
    </row>
    <row r="82" spans="1:12" x14ac:dyDescent="0.35">
      <c r="A82" s="103" t="s">
        <v>120</v>
      </c>
      <c r="B82" s="426" t="s">
        <v>51</v>
      </c>
      <c r="C82" s="427" t="s">
        <v>51</v>
      </c>
      <c r="D82" s="427" t="s">
        <v>51</v>
      </c>
      <c r="E82" s="383">
        <v>1597</v>
      </c>
      <c r="F82" s="437" t="s">
        <v>51</v>
      </c>
      <c r="K82" s="34"/>
      <c r="L82" s="83"/>
    </row>
    <row r="83" spans="1:12" x14ac:dyDescent="0.35">
      <c r="A83" s="103" t="s">
        <v>121</v>
      </c>
      <c r="B83" s="426" t="s">
        <v>51</v>
      </c>
      <c r="C83" s="427" t="s">
        <v>51</v>
      </c>
      <c r="D83" s="383">
        <v>82.9</v>
      </c>
      <c r="E83" s="383">
        <v>166.8</v>
      </c>
      <c r="F83" s="425">
        <v>160.4</v>
      </c>
    </row>
    <row r="84" spans="1:12" x14ac:dyDescent="0.35">
      <c r="A84" s="103" t="s">
        <v>113</v>
      </c>
      <c r="B84" s="424">
        <v>-40.9</v>
      </c>
      <c r="C84" s="383">
        <v>-19.7</v>
      </c>
      <c r="D84" s="383">
        <v>-109.5</v>
      </c>
      <c r="E84" s="383">
        <v>-245.9</v>
      </c>
      <c r="F84" s="425">
        <v>-302.89999999999998</v>
      </c>
    </row>
    <row r="85" spans="1:12" x14ac:dyDescent="0.35">
      <c r="A85" s="96" t="s">
        <v>122</v>
      </c>
      <c r="B85" s="464">
        <f>SUM(B79:B84)</f>
        <v>-2304.9</v>
      </c>
      <c r="C85" s="465">
        <f>SUM(C79:C84)</f>
        <v>-1420</v>
      </c>
      <c r="D85" s="465">
        <f t="shared" ref="D85:E85" si="1">SUM(D79:D84)</f>
        <v>-981.59999999999991</v>
      </c>
      <c r="E85" s="465">
        <f t="shared" si="1"/>
        <v>561.99999999999989</v>
      </c>
      <c r="F85" s="466">
        <f>SUM(F79:F84)</f>
        <v>-2455.0999999999995</v>
      </c>
    </row>
    <row r="86" spans="1:12" x14ac:dyDescent="0.35">
      <c r="A86" s="103"/>
      <c r="B86" s="424"/>
      <c r="C86" s="383"/>
      <c r="D86" s="383"/>
      <c r="E86" s="383"/>
      <c r="F86" s="425"/>
    </row>
    <row r="87" spans="1:12" x14ac:dyDescent="0.35">
      <c r="A87" s="133" t="s">
        <v>129</v>
      </c>
      <c r="B87" s="483"/>
      <c r="C87" s="484"/>
      <c r="D87" s="484"/>
      <c r="E87" s="484"/>
      <c r="F87" s="425"/>
    </row>
    <row r="88" spans="1:12" x14ac:dyDescent="0.35">
      <c r="A88" s="103" t="s">
        <v>123</v>
      </c>
      <c r="B88" s="424">
        <v>510.4</v>
      </c>
      <c r="C88" s="383">
        <v>589.70000000000005</v>
      </c>
      <c r="D88" s="383">
        <v>-286.2</v>
      </c>
      <c r="E88" s="383">
        <v>-1050.3</v>
      </c>
      <c r="F88" s="425">
        <v>95.9</v>
      </c>
    </row>
    <row r="89" spans="1:12" x14ac:dyDescent="0.35">
      <c r="A89" s="103" t="s">
        <v>124</v>
      </c>
      <c r="B89" s="424">
        <v>1540.6</v>
      </c>
      <c r="C89" s="383">
        <v>10220</v>
      </c>
      <c r="D89" s="383">
        <v>3779.5</v>
      </c>
      <c r="E89" s="383">
        <v>4727.5</v>
      </c>
      <c r="F89" s="438">
        <v>3794.5</v>
      </c>
    </row>
    <row r="90" spans="1:12" x14ac:dyDescent="0.35">
      <c r="A90" s="103" t="s">
        <v>125</v>
      </c>
      <c r="B90" s="424">
        <v>-548.1</v>
      </c>
      <c r="C90" s="383">
        <v>-1054.5</v>
      </c>
      <c r="D90" s="383">
        <v>-822.9</v>
      </c>
      <c r="E90" s="383">
        <v>-1649.4</v>
      </c>
      <c r="F90" s="425">
        <v>-1759.6</v>
      </c>
    </row>
    <row r="91" spans="1:12" x14ac:dyDescent="0.35">
      <c r="A91" s="103" t="s">
        <v>126</v>
      </c>
      <c r="B91" s="424">
        <v>-3198.6</v>
      </c>
      <c r="C91" s="383">
        <v>-6099.2</v>
      </c>
      <c r="D91" s="383">
        <v>-11171</v>
      </c>
      <c r="E91" s="383">
        <v>-4685.7</v>
      </c>
      <c r="F91" s="425">
        <v>-5207.7</v>
      </c>
    </row>
    <row r="92" spans="1:12" x14ac:dyDescent="0.35">
      <c r="A92" s="133" t="s">
        <v>127</v>
      </c>
      <c r="B92" s="532">
        <v>-3216.1</v>
      </c>
      <c r="C92" s="533">
        <v>-3230.3</v>
      </c>
      <c r="D92" s="533">
        <v>-3058.2</v>
      </c>
      <c r="E92" s="533">
        <v>-3089.2</v>
      </c>
      <c r="F92" s="425">
        <v>-3255.9</v>
      </c>
    </row>
    <row r="93" spans="1:12" x14ac:dyDescent="0.35">
      <c r="A93" s="103" t="s">
        <v>128</v>
      </c>
      <c r="B93" s="424">
        <v>235.4</v>
      </c>
      <c r="C93" s="383">
        <v>317.2</v>
      </c>
      <c r="D93" s="383">
        <v>299.39999999999998</v>
      </c>
      <c r="E93" s="383">
        <v>456.8</v>
      </c>
      <c r="F93" s="425">
        <v>403.2</v>
      </c>
    </row>
    <row r="94" spans="1:12" x14ac:dyDescent="0.35">
      <c r="A94" s="103" t="s">
        <v>141</v>
      </c>
      <c r="B94" s="424">
        <v>70.900000000000006</v>
      </c>
      <c r="C94" s="383">
        <v>51.1</v>
      </c>
      <c r="D94" s="427" t="s">
        <v>51</v>
      </c>
      <c r="E94" s="427" t="s">
        <v>51</v>
      </c>
      <c r="F94" s="437" t="s">
        <v>51</v>
      </c>
    </row>
    <row r="95" spans="1:12" x14ac:dyDescent="0.35">
      <c r="A95" s="103" t="s">
        <v>113</v>
      </c>
      <c r="B95" s="424">
        <v>-12.8</v>
      </c>
      <c r="C95" s="383">
        <v>-58.7</v>
      </c>
      <c r="D95" s="383">
        <v>-3</v>
      </c>
      <c r="E95" s="383">
        <v>-20.5</v>
      </c>
      <c r="F95" s="425">
        <v>-20</v>
      </c>
    </row>
    <row r="96" spans="1:12" x14ac:dyDescent="0.35">
      <c r="A96" s="118" t="s">
        <v>259</v>
      </c>
      <c r="B96" s="467">
        <f>SUM(B88:B95)</f>
        <v>-4618.3</v>
      </c>
      <c r="C96" s="468">
        <f>SUM(C88:C95)</f>
        <v>735.30000000000075</v>
      </c>
      <c r="D96" s="468">
        <f t="shared" ref="D96:E96" si="2">SUM(D88:D95)</f>
        <v>-11262.4</v>
      </c>
      <c r="E96" s="468">
        <f t="shared" si="2"/>
        <v>-5310.8</v>
      </c>
      <c r="F96" s="418">
        <f>SUM(F88:F95)</f>
        <v>-5949.5999999999995</v>
      </c>
    </row>
    <row r="97" spans="1:6" x14ac:dyDescent="0.35">
      <c r="A97" s="134" t="s">
        <v>131</v>
      </c>
      <c r="B97" s="424">
        <v>-527.9</v>
      </c>
      <c r="C97" s="383">
        <v>-246.8</v>
      </c>
      <c r="D97" s="383">
        <v>-103.7</v>
      </c>
      <c r="E97" s="383">
        <v>264</v>
      </c>
      <c r="F97" s="425">
        <v>-159.80000000000001</v>
      </c>
    </row>
    <row r="98" spans="1:6" x14ac:dyDescent="0.35">
      <c r="A98" s="103" t="s">
        <v>132</v>
      </c>
      <c r="B98" s="424">
        <v>-720.8</v>
      </c>
      <c r="C98" s="383">
        <v>5607.6</v>
      </c>
      <c r="D98" s="383">
        <v>-6288.1</v>
      </c>
      <c r="E98" s="383">
        <v>1066.44</v>
      </c>
      <c r="F98" s="425">
        <v>-1597.8</v>
      </c>
    </row>
    <row r="99" spans="1:6" x14ac:dyDescent="0.35">
      <c r="A99" s="103" t="s">
        <v>133</v>
      </c>
      <c r="B99" s="485" t="s">
        <v>51</v>
      </c>
      <c r="C99" s="486" t="s">
        <v>51</v>
      </c>
      <c r="D99" s="383">
        <v>-174</v>
      </c>
      <c r="E99" s="383">
        <v>174</v>
      </c>
      <c r="F99" s="437" t="s">
        <v>51</v>
      </c>
    </row>
    <row r="100" spans="1:6" x14ac:dyDescent="0.35">
      <c r="A100" s="103" t="s">
        <v>134</v>
      </c>
      <c r="B100" s="424">
        <v>2798.7</v>
      </c>
      <c r="C100" s="383">
        <v>2077.9</v>
      </c>
      <c r="D100" s="383">
        <v>7685.5</v>
      </c>
      <c r="E100" s="383">
        <v>1223.4000000000001</v>
      </c>
      <c r="F100" s="425">
        <v>2463.8000000000002</v>
      </c>
    </row>
    <row r="101" spans="1:6" x14ac:dyDescent="0.35">
      <c r="A101" s="113" t="s">
        <v>135</v>
      </c>
      <c r="B101" s="408">
        <v>2077.9</v>
      </c>
      <c r="C101" s="409">
        <f>SUM(C98:C100)</f>
        <v>7685.5</v>
      </c>
      <c r="D101" s="409">
        <f t="shared" ref="D101:E101" si="3">SUM(D98:D100)</f>
        <v>1223.3999999999996</v>
      </c>
      <c r="E101" s="409">
        <f t="shared" si="3"/>
        <v>2463.84</v>
      </c>
      <c r="F101" s="410">
        <f>SUM(F98:F100)</f>
        <v>866.00000000000023</v>
      </c>
    </row>
    <row r="102" spans="1:6" x14ac:dyDescent="0.35">
      <c r="A102" s="103" t="s">
        <v>139</v>
      </c>
      <c r="B102" s="424">
        <v>573.20000000000005</v>
      </c>
      <c r="C102" s="383">
        <v>640.79999999999995</v>
      </c>
      <c r="D102" s="383">
        <v>873.5</v>
      </c>
      <c r="E102" s="383">
        <v>885.2</v>
      </c>
      <c r="F102" s="425">
        <v>959.6</v>
      </c>
    </row>
    <row r="103" spans="1:6" ht="15" thickBot="1" x14ac:dyDescent="0.4">
      <c r="A103" s="135" t="s">
        <v>140</v>
      </c>
      <c r="B103" s="487">
        <v>2388.3000000000002</v>
      </c>
      <c r="C103" s="488">
        <v>1985.4</v>
      </c>
      <c r="D103" s="488">
        <v>2387.5</v>
      </c>
      <c r="E103" s="488">
        <v>2786.3</v>
      </c>
      <c r="F103" s="489">
        <v>1734.4</v>
      </c>
    </row>
    <row r="105" spans="1:6" x14ac:dyDescent="0.35">
      <c r="A105" s="9" t="s">
        <v>98</v>
      </c>
    </row>
  </sheetData>
  <sortState xmlns:xlrd2="http://schemas.microsoft.com/office/spreadsheetml/2017/richdata2" columnSort="1" ref="B6:F55">
    <sortCondition ref="B6:F6"/>
  </sortState>
  <mergeCells count="7">
    <mergeCell ref="B5:F5"/>
    <mergeCell ref="I5:N5"/>
    <mergeCell ref="A1:N1"/>
    <mergeCell ref="B60:F60"/>
    <mergeCell ref="A5:A6"/>
    <mergeCell ref="H5:H6"/>
    <mergeCell ref="A60:A61"/>
  </mergeCells>
  <hyperlinks>
    <hyperlink ref="A2" location="Home!A1" display="Go to Home" xr:uid="{A44E1A65-1A0E-4696-AC41-CC0D70E789DF}"/>
    <hyperlink ref="A56" r:id="rId1" xr:uid="{5CCDCF7A-38BD-462E-803C-B90BF3B5BB21}"/>
    <hyperlink ref="A105" location="References!A1" display="References!A1" xr:uid="{806DCBD0-0063-4E6B-AA9B-3450C0935FB8}"/>
  </hyperlinks>
  <pageMargins left="0.7" right="0.7" top="0.75" bottom="0.75" header="0.3" footer="0.3"/>
  <pageSetup orientation="portrait" r:id="rId2"/>
  <ignoredErrors>
    <ignoredError sqref="B46:E46 D101:E101" formulaRange="1"/>
    <ignoredError sqref="C55:F55" numberStoredAsText="1"/>
  </ignoredErrors>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4B9CF-5A02-452E-80E8-00F12D9B3921}">
  <dimension ref="A1:Y143"/>
  <sheetViews>
    <sheetView zoomScale="60" zoomScaleNormal="60" workbookViewId="0">
      <selection activeCell="S104" sqref="S104"/>
    </sheetView>
  </sheetViews>
  <sheetFormatPr defaultRowHeight="14.5" x14ac:dyDescent="0.35"/>
  <cols>
    <col min="1" max="1" width="16.54296875" bestFit="1" customWidth="1"/>
    <col min="2" max="2" width="15.81640625" bestFit="1" customWidth="1"/>
    <col min="3" max="4" width="9.08984375" bestFit="1" customWidth="1"/>
    <col min="5" max="7" width="8.90625" bestFit="1" customWidth="1"/>
    <col min="9" max="9" width="17.81640625" customWidth="1"/>
    <col min="10" max="10" width="22.08984375" bestFit="1" customWidth="1"/>
    <col min="11" max="11" width="8.90625" bestFit="1" customWidth="1"/>
    <col min="12" max="12" width="9.453125" customWidth="1"/>
    <col min="13" max="14" width="8.90625" bestFit="1" customWidth="1"/>
    <col min="15" max="15" width="14" customWidth="1"/>
    <col min="16" max="16" width="5" customWidth="1"/>
    <col min="17" max="17" width="11.90625" customWidth="1"/>
    <col min="18" max="18" width="28.7265625" bestFit="1" customWidth="1"/>
    <col min="19" max="20" width="8.54296875" bestFit="1" customWidth="1"/>
    <col min="21" max="23" width="9.36328125" bestFit="1" customWidth="1"/>
  </cols>
  <sheetData>
    <row r="1" spans="1:25" ht="20" thickBot="1" x14ac:dyDescent="0.5">
      <c r="A1" s="801" t="s">
        <v>225</v>
      </c>
      <c r="B1" s="783"/>
      <c r="C1" s="783"/>
      <c r="D1" s="783"/>
      <c r="E1" s="783"/>
      <c r="F1" s="783"/>
      <c r="G1" s="783"/>
      <c r="H1" s="783"/>
      <c r="I1" s="783"/>
      <c r="J1" s="783"/>
      <c r="K1" s="783"/>
      <c r="L1" s="783"/>
      <c r="M1" s="783"/>
      <c r="N1" s="783"/>
      <c r="O1" s="778"/>
      <c r="P1" s="778"/>
      <c r="Q1" s="778"/>
      <c r="R1" s="778"/>
      <c r="S1" s="778"/>
      <c r="T1" s="778"/>
      <c r="U1" s="778"/>
      <c r="V1" s="778"/>
      <c r="W1" s="778"/>
    </row>
    <row r="2" spans="1:25" ht="15.5" thickTop="1" thickBot="1" x14ac:dyDescent="0.4">
      <c r="A2" s="769" t="s">
        <v>35</v>
      </c>
      <c r="B2" s="219"/>
      <c r="C2" s="219"/>
      <c r="D2" s="219"/>
      <c r="E2" s="219"/>
      <c r="F2" s="219"/>
      <c r="G2" s="219"/>
      <c r="H2" s="240"/>
      <c r="I2" s="309"/>
      <c r="J2" s="219"/>
      <c r="K2" s="219"/>
      <c r="L2" s="219"/>
      <c r="M2" s="219"/>
      <c r="N2" s="219"/>
      <c r="O2" s="18"/>
      <c r="P2" s="64"/>
      <c r="W2" s="18"/>
    </row>
    <row r="3" spans="1:25" x14ac:dyDescent="0.35">
      <c r="A3" s="220"/>
      <c r="B3" s="219"/>
      <c r="C3" s="219"/>
      <c r="D3" s="219"/>
      <c r="E3" s="219"/>
      <c r="F3" s="219"/>
      <c r="G3" s="219"/>
      <c r="H3" s="240"/>
      <c r="I3" s="309"/>
      <c r="J3" s="219"/>
      <c r="K3" s="219"/>
      <c r="L3" s="219"/>
      <c r="M3" s="219"/>
      <c r="N3" s="219"/>
      <c r="O3" s="18"/>
      <c r="P3" s="64"/>
      <c r="W3" s="18"/>
    </row>
    <row r="4" spans="1:25" x14ac:dyDescent="0.35">
      <c r="A4" s="825" t="s">
        <v>178</v>
      </c>
      <c r="B4" s="826"/>
      <c r="C4" s="827" t="s">
        <v>3</v>
      </c>
      <c r="D4" s="827"/>
      <c r="E4" s="310"/>
      <c r="F4" s="219"/>
      <c r="G4" s="219"/>
      <c r="H4" s="240"/>
      <c r="I4" s="818" t="s">
        <v>187</v>
      </c>
      <c r="J4" s="819"/>
      <c r="K4" s="820" t="s">
        <v>4</v>
      </c>
      <c r="L4" s="820"/>
      <c r="M4" s="219"/>
      <c r="N4" s="219"/>
      <c r="O4" s="18"/>
      <c r="P4" s="806" t="s">
        <v>193</v>
      </c>
      <c r="Q4" s="806"/>
      <c r="R4" s="806"/>
      <c r="S4" s="812" t="s">
        <v>194</v>
      </c>
      <c r="T4" s="812"/>
      <c r="U4" s="812"/>
      <c r="W4" s="18"/>
    </row>
    <row r="5" spans="1:25" x14ac:dyDescent="0.35">
      <c r="A5" s="309"/>
      <c r="B5" s="828" t="s">
        <v>56</v>
      </c>
      <c r="C5" s="311" t="s">
        <v>33</v>
      </c>
      <c r="D5" s="311"/>
      <c r="E5" s="311"/>
      <c r="F5" s="311"/>
      <c r="G5" s="311"/>
      <c r="H5" s="240"/>
      <c r="I5" s="309"/>
      <c r="J5" s="821" t="s">
        <v>56</v>
      </c>
      <c r="K5" s="312" t="s">
        <v>101</v>
      </c>
      <c r="L5" s="312"/>
      <c r="M5" s="312"/>
      <c r="N5" s="312"/>
      <c r="O5" s="33"/>
      <c r="Q5" s="14"/>
      <c r="R5" s="57" t="s">
        <v>195</v>
      </c>
      <c r="S5" s="501">
        <v>2014</v>
      </c>
      <c r="T5" s="501">
        <v>2015</v>
      </c>
      <c r="U5" s="501">
        <v>2016</v>
      </c>
      <c r="V5" s="501">
        <v>2017</v>
      </c>
      <c r="W5" s="501">
        <v>2018</v>
      </c>
    </row>
    <row r="6" spans="1:25" x14ac:dyDescent="0.35">
      <c r="A6" s="309"/>
      <c r="B6" s="829"/>
      <c r="C6" s="498">
        <v>2014</v>
      </c>
      <c r="D6" s="498">
        <v>2015</v>
      </c>
      <c r="E6" s="498">
        <v>2016</v>
      </c>
      <c r="F6" s="498">
        <v>2017</v>
      </c>
      <c r="G6" s="498">
        <v>2018</v>
      </c>
      <c r="H6" s="240"/>
      <c r="I6" s="309"/>
      <c r="J6" s="822"/>
      <c r="K6" s="499">
        <v>2014</v>
      </c>
      <c r="L6" s="499">
        <v>2015</v>
      </c>
      <c r="M6" s="499">
        <v>2016</v>
      </c>
      <c r="N6" s="499">
        <v>2017</v>
      </c>
      <c r="O6" s="33">
        <v>2018</v>
      </c>
      <c r="Q6" s="809" t="s">
        <v>167</v>
      </c>
      <c r="R6" s="39" t="s">
        <v>144</v>
      </c>
      <c r="S6" s="39"/>
      <c r="T6" s="39"/>
      <c r="U6" s="39"/>
      <c r="V6" s="39"/>
      <c r="W6" s="39"/>
    </row>
    <row r="7" spans="1:25" x14ac:dyDescent="0.35">
      <c r="A7" s="309"/>
      <c r="B7" s="314" t="s">
        <v>52</v>
      </c>
      <c r="C7" s="556" t="s">
        <v>51</v>
      </c>
      <c r="D7" s="557">
        <v>-7.5012075381789625E-2</v>
      </c>
      <c r="E7" s="557">
        <v>-4.3199893399009093E-2</v>
      </c>
      <c r="F7" s="557">
        <v>-9.2499548219490829E-2</v>
      </c>
      <c r="G7" s="557">
        <v>-0.10063328292422634</v>
      </c>
      <c r="H7" s="240"/>
      <c r="I7" s="309"/>
      <c r="J7" s="313" t="s">
        <v>105</v>
      </c>
      <c r="K7" s="500">
        <v>0.16313522580475609</v>
      </c>
      <c r="L7" s="500">
        <v>0.14745470585217918</v>
      </c>
      <c r="M7" s="500">
        <v>0.18256140364046847</v>
      </c>
      <c r="N7" s="500">
        <v>0.1711484014693658</v>
      </c>
      <c r="O7" s="28">
        <v>0.18054810552494271</v>
      </c>
      <c r="Q7" s="809"/>
      <c r="R7" s="39" t="s">
        <v>145</v>
      </c>
      <c r="S7" s="40">
        <v>0.24533726334028466</v>
      </c>
      <c r="T7" s="40">
        <v>0.2571927694177501</v>
      </c>
      <c r="U7" s="40">
        <v>0.24604761929935015</v>
      </c>
      <c r="V7" s="40">
        <v>0.24315516943034937</v>
      </c>
      <c r="W7" s="40">
        <v>0.33134999904876061</v>
      </c>
    </row>
    <row r="8" spans="1:25" x14ac:dyDescent="0.35">
      <c r="A8" s="309"/>
      <c r="B8" s="315" t="s">
        <v>54</v>
      </c>
      <c r="C8" s="525" t="s">
        <v>51</v>
      </c>
      <c r="D8" s="526">
        <v>-5.8708414872798917E-3</v>
      </c>
      <c r="E8" s="526">
        <v>0.12007874015748038</v>
      </c>
      <c r="F8" s="526">
        <v>0.14586994727592251</v>
      </c>
      <c r="G8" s="526">
        <v>0.15644171779141111</v>
      </c>
      <c r="H8" s="240"/>
      <c r="I8" s="309"/>
      <c r="J8" s="236" t="s">
        <v>106</v>
      </c>
      <c r="K8" s="38">
        <v>0.49672484617587082</v>
      </c>
      <c r="L8" s="38">
        <v>0.69048491382150667</v>
      </c>
      <c r="M8" s="38">
        <v>0.90068624512069717</v>
      </c>
      <c r="N8" s="38">
        <v>0.90791244745397692</v>
      </c>
      <c r="O8" s="29">
        <v>0.98050665626371492</v>
      </c>
      <c r="Q8" s="14"/>
      <c r="R8" s="39"/>
      <c r="S8" s="39"/>
      <c r="T8" s="39"/>
      <c r="U8" s="39"/>
      <c r="V8" s="39"/>
      <c r="W8" s="39"/>
    </row>
    <row r="9" spans="1:25" x14ac:dyDescent="0.35">
      <c r="A9" s="309"/>
      <c r="B9" s="316" t="s">
        <v>49</v>
      </c>
      <c r="C9" s="528">
        <v>0.28967603221456945</v>
      </c>
      <c r="D9" s="528">
        <v>0.28119466414827055</v>
      </c>
      <c r="E9" s="528">
        <v>0.3145370584723356</v>
      </c>
      <c r="F9" s="528">
        <v>0.41862401402278704</v>
      </c>
      <c r="G9" s="528">
        <v>0.41964328180737215</v>
      </c>
      <c r="H9" s="240"/>
      <c r="I9" s="309"/>
      <c r="J9" s="317" t="s">
        <v>107</v>
      </c>
      <c r="K9" s="482">
        <v>1.5231631427635648</v>
      </c>
      <c r="L9" s="482">
        <v>3.2683703904555323</v>
      </c>
      <c r="M9" s="482">
        <v>1.3979759536372287</v>
      </c>
      <c r="N9" s="482">
        <v>1.8429391821767105</v>
      </c>
      <c r="O9" s="30">
        <v>1.3631074491340172</v>
      </c>
      <c r="Q9" s="14"/>
      <c r="R9" s="10" t="s">
        <v>143</v>
      </c>
      <c r="S9" s="10"/>
      <c r="T9" s="10"/>
      <c r="U9" s="10"/>
      <c r="V9" s="10"/>
      <c r="W9" s="10"/>
    </row>
    <row r="10" spans="1:25" x14ac:dyDescent="0.35">
      <c r="A10" s="309"/>
      <c r="B10" s="318" t="s">
        <v>50</v>
      </c>
      <c r="C10" s="558">
        <v>0.17339018257352137</v>
      </c>
      <c r="D10" s="558">
        <v>0.17821587376539566</v>
      </c>
      <c r="E10" s="558">
        <v>0.1903176021444237</v>
      </c>
      <c r="F10" s="558">
        <v>0.22751971954425942</v>
      </c>
      <c r="G10" s="558">
        <v>0.28175980975029724</v>
      </c>
      <c r="H10" s="240"/>
      <c r="I10" s="219"/>
      <c r="J10" s="219"/>
      <c r="K10" s="219"/>
      <c r="L10" s="219"/>
      <c r="M10" s="219"/>
      <c r="N10" s="219"/>
      <c r="O10" s="18"/>
      <c r="Q10" s="14"/>
      <c r="R10" s="10" t="s">
        <v>146</v>
      </c>
      <c r="S10" s="37">
        <v>4588.9310999999998</v>
      </c>
      <c r="T10" s="37">
        <v>5003.6690999999992</v>
      </c>
      <c r="U10" s="37">
        <v>4433.4709999999995</v>
      </c>
      <c r="V10" s="37">
        <v>3786.2400000000025</v>
      </c>
      <c r="W10" s="37">
        <v>4225.0000000000018</v>
      </c>
      <c r="X10" s="31"/>
      <c r="Y10" s="31"/>
    </row>
    <row r="11" spans="1:25" x14ac:dyDescent="0.35">
      <c r="A11" s="219"/>
      <c r="B11" s="219"/>
      <c r="C11" s="219"/>
      <c r="D11" s="219"/>
      <c r="E11" s="219"/>
      <c r="F11" s="219"/>
      <c r="G11" s="219"/>
      <c r="H11" s="240"/>
      <c r="I11" s="219"/>
      <c r="J11" s="219"/>
      <c r="K11" s="219"/>
      <c r="L11" s="219"/>
      <c r="M11" s="219"/>
      <c r="N11" s="219"/>
      <c r="O11" s="18"/>
      <c r="Q11" s="7"/>
      <c r="R11" s="7"/>
      <c r="S11" s="7"/>
      <c r="T11" s="7"/>
      <c r="U11" s="7"/>
      <c r="V11" s="7"/>
      <c r="W11" s="7"/>
    </row>
    <row r="12" spans="1:25" x14ac:dyDescent="0.35">
      <c r="A12" s="219"/>
      <c r="B12" s="219"/>
      <c r="C12" s="219"/>
      <c r="D12" s="219"/>
      <c r="E12" s="219"/>
      <c r="F12" s="219"/>
      <c r="G12" s="219"/>
      <c r="H12" s="240"/>
      <c r="I12" s="219"/>
      <c r="J12" s="219"/>
      <c r="K12" s="219"/>
      <c r="L12" s="219"/>
      <c r="M12" s="219"/>
      <c r="N12" s="219"/>
      <c r="O12" s="18"/>
      <c r="Q12" s="7"/>
      <c r="R12" s="7"/>
      <c r="S12" s="7"/>
      <c r="T12" s="7"/>
      <c r="U12" s="7"/>
      <c r="V12" s="7"/>
      <c r="W12" s="7"/>
    </row>
    <row r="13" spans="1:25" x14ac:dyDescent="0.35">
      <c r="A13" s="219"/>
      <c r="B13" s="219"/>
      <c r="C13" s="219"/>
      <c r="D13" s="219"/>
      <c r="E13" s="219"/>
      <c r="F13" s="219"/>
      <c r="G13" s="219"/>
      <c r="H13" s="240"/>
      <c r="I13" s="219"/>
      <c r="J13" s="219"/>
      <c r="K13" s="219"/>
      <c r="L13" s="219"/>
      <c r="M13" s="219"/>
      <c r="N13" s="219"/>
      <c r="O13" s="18"/>
      <c r="Q13" s="7"/>
      <c r="R13" s="7"/>
      <c r="S13" s="7"/>
      <c r="T13" s="7"/>
      <c r="U13" s="7"/>
      <c r="V13" s="7"/>
      <c r="W13" s="7"/>
    </row>
    <row r="14" spans="1:25" x14ac:dyDescent="0.35">
      <c r="A14" s="219"/>
      <c r="B14" s="219"/>
      <c r="C14" s="219"/>
      <c r="D14" s="219"/>
      <c r="E14" s="219"/>
      <c r="F14" s="219"/>
      <c r="G14" s="219"/>
      <c r="H14" s="240"/>
      <c r="I14" s="219"/>
      <c r="J14" s="219"/>
      <c r="K14" s="219"/>
      <c r="L14" s="219"/>
      <c r="M14" s="219"/>
      <c r="N14" s="219"/>
      <c r="O14" s="18"/>
      <c r="Q14" s="7"/>
      <c r="R14" s="7"/>
      <c r="S14" s="7"/>
      <c r="T14" s="7"/>
      <c r="U14" s="7"/>
      <c r="V14" s="7"/>
      <c r="W14" s="7"/>
    </row>
    <row r="15" spans="1:25" x14ac:dyDescent="0.35">
      <c r="A15" s="219"/>
      <c r="B15" s="219"/>
      <c r="C15" s="219"/>
      <c r="D15" s="219"/>
      <c r="E15" s="219"/>
      <c r="F15" s="219"/>
      <c r="G15" s="219"/>
      <c r="H15" s="240"/>
      <c r="I15" s="219"/>
      <c r="J15" s="219"/>
      <c r="K15" s="219"/>
      <c r="L15" s="219"/>
      <c r="M15" s="219"/>
      <c r="N15" s="219"/>
      <c r="O15" s="18"/>
      <c r="Q15" s="7"/>
      <c r="R15" s="7"/>
      <c r="S15" s="7"/>
      <c r="T15" s="7"/>
      <c r="U15" s="7"/>
      <c r="V15" s="7"/>
      <c r="W15" s="7"/>
    </row>
    <row r="16" spans="1:25" x14ac:dyDescent="0.35">
      <c r="A16" s="219"/>
      <c r="B16" s="219"/>
      <c r="C16" s="219"/>
      <c r="D16" s="219"/>
      <c r="E16" s="219"/>
      <c r="F16" s="219"/>
      <c r="G16" s="219"/>
      <c r="H16" s="240"/>
      <c r="I16" s="219"/>
      <c r="J16" s="219"/>
      <c r="K16" s="219"/>
      <c r="L16" s="219"/>
      <c r="M16" s="219"/>
      <c r="N16" s="219"/>
      <c r="O16" s="18"/>
      <c r="Q16" s="7"/>
      <c r="R16" s="7"/>
      <c r="S16" s="7"/>
      <c r="T16" s="7"/>
      <c r="U16" s="7"/>
      <c r="V16" s="7"/>
      <c r="W16" s="7"/>
    </row>
    <row r="17" spans="1:23" x14ac:dyDescent="0.35">
      <c r="A17" s="219"/>
      <c r="B17" s="219"/>
      <c r="C17" s="219"/>
      <c r="D17" s="219"/>
      <c r="E17" s="219"/>
      <c r="F17" s="219"/>
      <c r="G17" s="219"/>
      <c r="H17" s="240"/>
      <c r="I17" s="219"/>
      <c r="J17" s="219"/>
      <c r="K17" s="219"/>
      <c r="L17" s="219"/>
      <c r="M17" s="219"/>
      <c r="N17" s="219"/>
      <c r="O17" s="18"/>
      <c r="Q17" s="7"/>
      <c r="R17" s="7"/>
      <c r="S17" s="7"/>
      <c r="T17" s="7"/>
      <c r="U17" s="7"/>
      <c r="V17" s="7"/>
      <c r="W17" s="7"/>
    </row>
    <row r="18" spans="1:23" x14ac:dyDescent="0.35">
      <c r="A18" s="219"/>
      <c r="B18" s="219"/>
      <c r="C18" s="219"/>
      <c r="D18" s="219"/>
      <c r="E18" s="219"/>
      <c r="F18" s="219"/>
      <c r="G18" s="219"/>
      <c r="H18" s="240"/>
      <c r="I18" s="219"/>
      <c r="J18" s="219"/>
      <c r="K18" s="219"/>
      <c r="L18" s="219"/>
      <c r="M18" s="219"/>
      <c r="N18" s="219"/>
      <c r="O18" s="18"/>
      <c r="Q18" s="7"/>
      <c r="R18" s="7"/>
      <c r="S18" s="7"/>
      <c r="T18" s="7"/>
      <c r="U18" s="7"/>
      <c r="V18" s="7"/>
      <c r="W18" s="7"/>
    </row>
    <row r="19" spans="1:23" x14ac:dyDescent="0.35">
      <c r="A19" s="219"/>
      <c r="B19" s="219"/>
      <c r="C19" s="219"/>
      <c r="D19" s="219"/>
      <c r="E19" s="219"/>
      <c r="F19" s="219"/>
      <c r="G19" s="219"/>
      <c r="H19" s="240"/>
      <c r="I19" s="219"/>
      <c r="J19" s="219"/>
      <c r="K19" s="219"/>
      <c r="L19" s="219"/>
      <c r="M19" s="219"/>
      <c r="N19" s="219"/>
      <c r="O19" s="18"/>
      <c r="Q19" s="7"/>
      <c r="R19" s="7"/>
      <c r="S19" s="7"/>
      <c r="T19" s="7"/>
      <c r="U19" s="7"/>
      <c r="V19" s="7"/>
      <c r="W19" s="7"/>
    </row>
    <row r="20" spans="1:23" x14ac:dyDescent="0.35">
      <c r="A20" s="219"/>
      <c r="B20" s="219"/>
      <c r="C20" s="219"/>
      <c r="D20" s="219"/>
      <c r="E20" s="219"/>
      <c r="F20" s="219"/>
      <c r="G20" s="219"/>
      <c r="H20" s="240"/>
      <c r="I20" s="219"/>
      <c r="J20" s="219"/>
      <c r="K20" s="219"/>
      <c r="L20" s="219"/>
      <c r="M20" s="219"/>
      <c r="N20" s="219"/>
      <c r="O20" s="18"/>
      <c r="Q20" s="7"/>
      <c r="R20" s="7"/>
      <c r="S20" s="7"/>
      <c r="T20" s="7"/>
      <c r="U20" s="7"/>
      <c r="V20" s="7"/>
      <c r="W20" s="7"/>
    </row>
    <row r="21" spans="1:23" x14ac:dyDescent="0.35">
      <c r="A21" s="219"/>
      <c r="B21" s="219"/>
      <c r="C21" s="219"/>
      <c r="D21" s="219"/>
      <c r="E21" s="219"/>
      <c r="F21" s="219"/>
      <c r="G21" s="219"/>
      <c r="H21" s="240"/>
      <c r="I21" s="219"/>
      <c r="J21" s="219"/>
      <c r="K21" s="219"/>
      <c r="L21" s="219"/>
      <c r="M21" s="219"/>
      <c r="N21" s="219"/>
      <c r="O21" s="18"/>
      <c r="Q21" s="7"/>
      <c r="R21" s="7"/>
      <c r="S21" s="7"/>
      <c r="T21" s="7"/>
      <c r="U21" s="7"/>
      <c r="V21" s="7"/>
      <c r="W21" s="7"/>
    </row>
    <row r="22" spans="1:23" x14ac:dyDescent="0.35">
      <c r="A22" s="219"/>
      <c r="B22" s="219"/>
      <c r="C22" s="219"/>
      <c r="D22" s="219"/>
      <c r="E22" s="219"/>
      <c r="F22" s="219"/>
      <c r="G22" s="219"/>
      <c r="H22" s="240"/>
      <c r="I22" s="219"/>
      <c r="J22" s="219"/>
      <c r="K22" s="219"/>
      <c r="L22" s="219"/>
      <c r="M22" s="219"/>
      <c r="N22" s="219"/>
      <c r="O22" s="18"/>
      <c r="Q22" s="7"/>
      <c r="R22" s="7"/>
      <c r="S22" s="7"/>
      <c r="T22" s="7"/>
      <c r="U22" s="7"/>
      <c r="V22" s="7"/>
      <c r="W22" s="7"/>
    </row>
    <row r="23" spans="1:23" x14ac:dyDescent="0.35">
      <c r="A23" s="219"/>
      <c r="B23" s="219"/>
      <c r="C23" s="219"/>
      <c r="D23" s="219"/>
      <c r="E23" s="219"/>
      <c r="F23" s="219"/>
      <c r="G23" s="219"/>
      <c r="H23" s="240"/>
      <c r="I23" s="219"/>
      <c r="J23" s="219"/>
      <c r="K23" s="219"/>
      <c r="L23" s="219"/>
      <c r="M23" s="219"/>
      <c r="N23" s="219"/>
      <c r="O23" s="18"/>
      <c r="Q23" s="7"/>
      <c r="R23" s="7"/>
      <c r="S23" s="7"/>
      <c r="T23" s="7"/>
      <c r="U23" s="7"/>
      <c r="V23" s="7"/>
      <c r="W23" s="7"/>
    </row>
    <row r="24" spans="1:23" x14ac:dyDescent="0.35">
      <c r="A24" s="219"/>
      <c r="B24" s="219"/>
      <c r="C24" s="219"/>
      <c r="D24" s="219"/>
      <c r="E24" s="219"/>
      <c r="F24" s="219"/>
      <c r="G24" s="219"/>
      <c r="H24" s="240"/>
      <c r="I24" s="219"/>
      <c r="J24" s="219"/>
      <c r="K24" s="219"/>
      <c r="L24" s="219"/>
      <c r="M24" s="219"/>
      <c r="N24" s="219"/>
      <c r="O24" s="18"/>
      <c r="Q24" s="7"/>
      <c r="R24" s="7"/>
      <c r="S24" s="7"/>
      <c r="T24" s="7"/>
      <c r="U24" s="7"/>
      <c r="V24" s="7"/>
      <c r="W24" s="7"/>
    </row>
    <row r="25" spans="1:23" x14ac:dyDescent="0.35">
      <c r="A25" s="219"/>
      <c r="B25" s="219"/>
      <c r="C25" s="219"/>
      <c r="D25" s="219"/>
      <c r="E25" s="219"/>
      <c r="F25" s="219"/>
      <c r="G25" s="219"/>
      <c r="H25" s="240"/>
      <c r="I25" s="219"/>
      <c r="J25" s="219"/>
      <c r="K25" s="219"/>
      <c r="L25" s="219"/>
      <c r="M25" s="219"/>
      <c r="N25" s="219"/>
      <c r="O25" s="18"/>
      <c r="Q25" s="7"/>
      <c r="R25" s="7"/>
      <c r="S25" s="7"/>
      <c r="T25" s="7"/>
      <c r="U25" s="7"/>
      <c r="V25" s="7"/>
      <c r="W25" s="7"/>
    </row>
    <row r="26" spans="1:23" x14ac:dyDescent="0.35">
      <c r="A26" s="309"/>
      <c r="B26" s="219"/>
      <c r="C26" s="219"/>
      <c r="D26" s="219"/>
      <c r="E26" s="219"/>
      <c r="F26" s="219"/>
      <c r="G26" s="219"/>
      <c r="H26" s="240"/>
      <c r="I26" s="219"/>
      <c r="J26" s="219"/>
      <c r="K26" s="219"/>
      <c r="L26" s="219"/>
      <c r="M26" s="219"/>
      <c r="N26" s="219"/>
      <c r="O26" s="18"/>
      <c r="Q26" s="7"/>
      <c r="R26" s="7"/>
      <c r="S26" s="7"/>
      <c r="T26" s="7"/>
      <c r="U26" s="7"/>
      <c r="V26" s="7"/>
      <c r="W26" s="7"/>
    </row>
    <row r="27" spans="1:23" x14ac:dyDescent="0.35">
      <c r="A27" s="309"/>
      <c r="B27" s="219"/>
      <c r="C27" s="219"/>
      <c r="D27" s="219"/>
      <c r="E27" s="219"/>
      <c r="F27" s="219"/>
      <c r="G27" s="219"/>
      <c r="H27" s="240"/>
      <c r="I27" s="309"/>
      <c r="J27" s="219"/>
      <c r="K27" s="219"/>
      <c r="L27" s="219"/>
      <c r="M27" s="219"/>
      <c r="N27" s="219"/>
      <c r="O27" s="18"/>
      <c r="W27" s="18"/>
    </row>
    <row r="28" spans="1:23" x14ac:dyDescent="0.35">
      <c r="A28" s="56" t="s">
        <v>184</v>
      </c>
      <c r="H28" s="18"/>
      <c r="I28" s="56" t="s">
        <v>189</v>
      </c>
      <c r="O28" s="18"/>
      <c r="P28" s="817" t="s">
        <v>197</v>
      </c>
      <c r="Q28" s="817"/>
      <c r="R28" s="817"/>
      <c r="W28" s="18"/>
    </row>
    <row r="29" spans="1:23" x14ac:dyDescent="0.35">
      <c r="A29" s="803" t="s">
        <v>179</v>
      </c>
      <c r="B29" s="804"/>
      <c r="C29" s="804"/>
      <c r="D29" s="804"/>
      <c r="E29" s="804"/>
      <c r="F29" s="804"/>
      <c r="G29" s="804"/>
      <c r="H29" s="18"/>
      <c r="I29" s="803" t="s">
        <v>188</v>
      </c>
      <c r="J29" s="804"/>
      <c r="K29" s="804"/>
      <c r="L29" s="804"/>
      <c r="M29" s="804"/>
      <c r="N29" s="804"/>
      <c r="O29" s="18"/>
      <c r="P29" s="803" t="s">
        <v>196</v>
      </c>
      <c r="Q29" s="804"/>
      <c r="R29" s="804"/>
      <c r="S29" s="804"/>
      <c r="T29" s="804"/>
      <c r="U29" s="804"/>
      <c r="V29" s="804"/>
      <c r="W29" s="18"/>
    </row>
    <row r="30" spans="1:23" x14ac:dyDescent="0.35">
      <c r="A30" s="803"/>
      <c r="B30" s="804"/>
      <c r="C30" s="804"/>
      <c r="D30" s="804"/>
      <c r="E30" s="804"/>
      <c r="F30" s="804"/>
      <c r="G30" s="804"/>
      <c r="H30" s="18"/>
      <c r="I30" s="803"/>
      <c r="J30" s="804"/>
      <c r="K30" s="804"/>
      <c r="L30" s="804"/>
      <c r="M30" s="804"/>
      <c r="N30" s="804"/>
      <c r="O30" s="18"/>
      <c r="P30" s="803"/>
      <c r="Q30" s="804"/>
      <c r="R30" s="804"/>
      <c r="S30" s="804"/>
      <c r="T30" s="804"/>
      <c r="U30" s="804"/>
      <c r="V30" s="804"/>
      <c r="W30" s="18"/>
    </row>
    <row r="31" spans="1:23" x14ac:dyDescent="0.35">
      <c r="A31" s="803"/>
      <c r="B31" s="804"/>
      <c r="C31" s="804"/>
      <c r="D31" s="804"/>
      <c r="E31" s="804"/>
      <c r="F31" s="804"/>
      <c r="G31" s="804"/>
      <c r="H31" s="18"/>
      <c r="I31" s="64"/>
      <c r="O31" s="18"/>
      <c r="P31" s="64"/>
      <c r="W31" s="18"/>
    </row>
    <row r="32" spans="1:23" x14ac:dyDescent="0.35">
      <c r="A32" s="64"/>
      <c r="H32" s="18"/>
      <c r="I32" s="64"/>
      <c r="O32" s="18"/>
      <c r="P32" s="64"/>
      <c r="W32" s="18"/>
    </row>
    <row r="33" spans="1:23" x14ac:dyDescent="0.35">
      <c r="A33" s="56" t="s">
        <v>180</v>
      </c>
      <c r="H33" s="18"/>
      <c r="I33" s="56" t="s">
        <v>203</v>
      </c>
      <c r="O33" s="18"/>
      <c r="P33" s="816" t="s">
        <v>198</v>
      </c>
      <c r="Q33" s="817"/>
      <c r="W33" s="18"/>
    </row>
    <row r="34" spans="1:23" x14ac:dyDescent="0.35">
      <c r="A34" s="803" t="s">
        <v>181</v>
      </c>
      <c r="B34" s="823"/>
      <c r="C34" s="823"/>
      <c r="D34" s="823"/>
      <c r="E34" s="823"/>
      <c r="F34" s="823"/>
      <c r="G34" s="823"/>
      <c r="H34" s="18"/>
      <c r="I34" s="803" t="s">
        <v>190</v>
      </c>
      <c r="J34" s="804"/>
      <c r="K34" s="804"/>
      <c r="L34" s="804"/>
      <c r="M34" s="804"/>
      <c r="N34" s="804"/>
      <c r="O34" s="18"/>
      <c r="P34" s="803" t="s">
        <v>199</v>
      </c>
      <c r="Q34" s="804"/>
      <c r="R34" s="804"/>
      <c r="S34" s="804"/>
      <c r="T34" s="804"/>
      <c r="U34" s="804"/>
      <c r="V34" s="804"/>
      <c r="W34" s="18"/>
    </row>
    <row r="35" spans="1:23" x14ac:dyDescent="0.35">
      <c r="A35" s="824"/>
      <c r="B35" s="823"/>
      <c r="C35" s="823"/>
      <c r="D35" s="823"/>
      <c r="E35" s="823"/>
      <c r="F35" s="823"/>
      <c r="G35" s="823"/>
      <c r="H35" s="18"/>
      <c r="I35" s="803"/>
      <c r="J35" s="804"/>
      <c r="K35" s="804"/>
      <c r="L35" s="804"/>
      <c r="M35" s="804"/>
      <c r="N35" s="804"/>
      <c r="O35" s="18"/>
      <c r="P35" s="803"/>
      <c r="Q35" s="804"/>
      <c r="R35" s="804"/>
      <c r="S35" s="804"/>
      <c r="T35" s="804"/>
      <c r="U35" s="804"/>
      <c r="V35" s="804"/>
      <c r="W35" s="18"/>
    </row>
    <row r="36" spans="1:23" x14ac:dyDescent="0.35">
      <c r="A36" s="824"/>
      <c r="B36" s="823"/>
      <c r="C36" s="823"/>
      <c r="D36" s="823"/>
      <c r="E36" s="823"/>
      <c r="F36" s="823"/>
      <c r="G36" s="823"/>
      <c r="H36" s="18"/>
      <c r="I36" s="64"/>
      <c r="O36" s="18"/>
      <c r="P36" s="64"/>
      <c r="W36" s="18"/>
    </row>
    <row r="37" spans="1:23" x14ac:dyDescent="0.35">
      <c r="A37" s="64"/>
      <c r="H37" s="18"/>
      <c r="I37" s="64"/>
      <c r="O37" s="18"/>
      <c r="P37" s="64"/>
      <c r="W37" s="18"/>
    </row>
    <row r="38" spans="1:23" x14ac:dyDescent="0.35">
      <c r="A38" s="56" t="s">
        <v>182</v>
      </c>
      <c r="H38" s="18"/>
      <c r="I38" s="56" t="s">
        <v>191</v>
      </c>
      <c r="O38" s="18"/>
      <c r="P38" s="64"/>
      <c r="W38" s="18"/>
    </row>
    <row r="39" spans="1:23" x14ac:dyDescent="0.35">
      <c r="A39" s="803" t="s">
        <v>183</v>
      </c>
      <c r="B39" s="823"/>
      <c r="C39" s="823"/>
      <c r="D39" s="823"/>
      <c r="E39" s="823"/>
      <c r="F39" s="823"/>
      <c r="G39" s="823"/>
      <c r="H39" s="18"/>
      <c r="I39" s="803" t="s">
        <v>192</v>
      </c>
      <c r="J39" s="804"/>
      <c r="K39" s="804"/>
      <c r="L39" s="804"/>
      <c r="M39" s="804"/>
      <c r="N39" s="804"/>
      <c r="O39" s="18"/>
      <c r="P39" s="64"/>
      <c r="W39" s="18"/>
    </row>
    <row r="40" spans="1:23" x14ac:dyDescent="0.35">
      <c r="A40" s="824"/>
      <c r="B40" s="823"/>
      <c r="C40" s="823"/>
      <c r="D40" s="823"/>
      <c r="E40" s="823"/>
      <c r="F40" s="823"/>
      <c r="G40" s="823"/>
      <c r="H40" s="18"/>
      <c r="I40" s="803"/>
      <c r="J40" s="804"/>
      <c r="K40" s="804"/>
      <c r="L40" s="804"/>
      <c r="M40" s="804"/>
      <c r="N40" s="804"/>
      <c r="O40" s="18"/>
      <c r="P40" s="64"/>
      <c r="W40" s="18"/>
    </row>
    <row r="41" spans="1:23" x14ac:dyDescent="0.35">
      <c r="A41" s="824"/>
      <c r="B41" s="823"/>
      <c r="C41" s="823"/>
      <c r="D41" s="823"/>
      <c r="E41" s="823"/>
      <c r="F41" s="823"/>
      <c r="G41" s="823"/>
      <c r="H41" s="18"/>
      <c r="I41" s="64"/>
      <c r="O41" s="18"/>
      <c r="P41" s="64"/>
      <c r="W41" s="18"/>
    </row>
    <row r="42" spans="1:23" x14ac:dyDescent="0.35">
      <c r="A42" s="64"/>
      <c r="H42" s="18"/>
      <c r="I42" s="64"/>
      <c r="O42" s="18"/>
      <c r="P42" s="64"/>
      <c r="W42" s="18"/>
    </row>
    <row r="43" spans="1:23" x14ac:dyDescent="0.35">
      <c r="A43" s="56" t="s">
        <v>186</v>
      </c>
      <c r="H43" s="18"/>
      <c r="I43" s="64"/>
      <c r="O43" s="18"/>
      <c r="P43" s="64"/>
      <c r="W43" s="18"/>
    </row>
    <row r="44" spans="1:23" x14ac:dyDescent="0.35">
      <c r="A44" s="803" t="s">
        <v>185</v>
      </c>
      <c r="B44" s="823"/>
      <c r="C44" s="823"/>
      <c r="D44" s="823"/>
      <c r="E44" s="823"/>
      <c r="F44" s="823"/>
      <c r="G44" s="823"/>
      <c r="H44" s="18"/>
      <c r="I44" s="64"/>
      <c r="O44" s="18"/>
      <c r="P44" s="64"/>
      <c r="W44" s="18"/>
    </row>
    <row r="45" spans="1:23" x14ac:dyDescent="0.35">
      <c r="A45" s="824"/>
      <c r="B45" s="823"/>
      <c r="C45" s="823"/>
      <c r="D45" s="823"/>
      <c r="E45" s="823"/>
      <c r="F45" s="823"/>
      <c r="G45" s="823"/>
      <c r="H45" s="18"/>
      <c r="I45" s="64"/>
      <c r="O45" s="18"/>
      <c r="P45" s="64"/>
      <c r="W45" s="18"/>
    </row>
    <row r="46" spans="1:23" x14ac:dyDescent="0.35">
      <c r="A46" s="824"/>
      <c r="B46" s="823"/>
      <c r="C46" s="823"/>
      <c r="D46" s="823"/>
      <c r="E46" s="823"/>
      <c r="F46" s="823"/>
      <c r="G46" s="823"/>
      <c r="H46" s="18"/>
      <c r="I46" s="64"/>
      <c r="O46" s="18"/>
      <c r="P46" s="64"/>
      <c r="W46" s="18"/>
    </row>
    <row r="47" spans="1:23" x14ac:dyDescent="0.35">
      <c r="A47" s="66"/>
      <c r="B47" s="19"/>
      <c r="C47" s="19"/>
      <c r="D47" s="19"/>
      <c r="E47" s="19"/>
      <c r="F47" s="19"/>
      <c r="G47" s="19"/>
      <c r="H47" s="20"/>
      <c r="I47" s="66"/>
      <c r="J47" s="19"/>
      <c r="K47" s="19"/>
      <c r="L47" s="19"/>
      <c r="M47" s="19"/>
      <c r="N47" s="19"/>
      <c r="O47" s="20"/>
      <c r="P47" s="66"/>
      <c r="Q47" s="19"/>
      <c r="R47" s="19"/>
      <c r="S47" s="19"/>
      <c r="T47" s="19"/>
      <c r="U47" s="19"/>
      <c r="V47" s="19"/>
      <c r="W47" s="20"/>
    </row>
    <row r="48" spans="1:23" x14ac:dyDescent="0.35">
      <c r="A48" s="65"/>
      <c r="B48" s="16"/>
      <c r="C48" s="16"/>
      <c r="D48" s="16"/>
      <c r="E48" s="16"/>
      <c r="F48" s="16"/>
      <c r="G48" s="16"/>
      <c r="H48" s="17"/>
      <c r="I48" s="65"/>
      <c r="J48" s="16"/>
      <c r="K48" s="16"/>
      <c r="L48" s="16"/>
      <c r="M48" s="16"/>
      <c r="N48" s="16"/>
      <c r="O48" s="17"/>
      <c r="P48" s="65"/>
      <c r="Q48" s="16"/>
      <c r="R48" s="16"/>
      <c r="S48" s="16"/>
      <c r="T48" s="16"/>
      <c r="U48" s="16"/>
      <c r="V48" s="16"/>
      <c r="W48" s="17"/>
    </row>
    <row r="49" spans="1:23" x14ac:dyDescent="0.35">
      <c r="A49" s="810" t="s">
        <v>193</v>
      </c>
      <c r="B49" s="811"/>
      <c r="C49" s="812" t="s">
        <v>194</v>
      </c>
      <c r="D49" s="812"/>
      <c r="E49" s="70"/>
      <c r="F49" s="70"/>
      <c r="H49" s="18"/>
      <c r="I49" s="805" t="s">
        <v>193</v>
      </c>
      <c r="J49" s="806"/>
      <c r="K49" s="802" t="s">
        <v>194</v>
      </c>
      <c r="L49" s="802"/>
      <c r="M49" s="70"/>
      <c r="N49" s="70"/>
      <c r="O49" s="18"/>
      <c r="P49" s="805" t="s">
        <v>193</v>
      </c>
      <c r="Q49" s="806"/>
      <c r="R49" s="806"/>
      <c r="S49" s="802" t="s">
        <v>194</v>
      </c>
      <c r="T49" s="802"/>
      <c r="U49" s="802"/>
      <c r="W49" s="18"/>
    </row>
    <row r="50" spans="1:23" x14ac:dyDescent="0.35">
      <c r="A50" s="14"/>
      <c r="B50" s="57" t="s">
        <v>195</v>
      </c>
      <c r="C50" s="501">
        <v>2014</v>
      </c>
      <c r="D50" s="501">
        <v>2015</v>
      </c>
      <c r="E50" s="501">
        <v>2016</v>
      </c>
      <c r="F50" s="501">
        <v>2017</v>
      </c>
      <c r="G50" s="501">
        <v>2018</v>
      </c>
      <c r="H50" s="18"/>
      <c r="I50" s="64"/>
      <c r="O50" s="18"/>
      <c r="P50" s="64"/>
      <c r="W50" s="18"/>
    </row>
    <row r="51" spans="1:23" ht="14.5" customHeight="1" x14ac:dyDescent="0.35">
      <c r="A51" s="809" t="s">
        <v>168</v>
      </c>
      <c r="B51" s="39" t="s">
        <v>147</v>
      </c>
      <c r="C51" s="39"/>
      <c r="D51" s="39"/>
      <c r="E51" s="39"/>
      <c r="F51" s="39"/>
      <c r="G51" s="39"/>
      <c r="H51" s="18"/>
      <c r="I51" s="14"/>
      <c r="J51" s="57" t="s">
        <v>195</v>
      </c>
      <c r="K51" s="501">
        <v>2014</v>
      </c>
      <c r="L51" s="501">
        <v>2015</v>
      </c>
      <c r="M51" s="501">
        <v>2016</v>
      </c>
      <c r="N51" s="501">
        <v>2017</v>
      </c>
      <c r="O51" s="501">
        <v>2018</v>
      </c>
      <c r="P51" s="64"/>
      <c r="Q51" s="14"/>
      <c r="R51" s="57" t="s">
        <v>195</v>
      </c>
      <c r="S51" s="501">
        <v>2014</v>
      </c>
      <c r="T51" s="501">
        <v>2015</v>
      </c>
      <c r="U51" s="501">
        <v>2016</v>
      </c>
      <c r="V51" s="501">
        <v>2017</v>
      </c>
      <c r="W51" s="501">
        <v>2018</v>
      </c>
    </row>
    <row r="52" spans="1:23" x14ac:dyDescent="0.35">
      <c r="A52" s="809"/>
      <c r="B52" s="60" t="s">
        <v>148</v>
      </c>
      <c r="C52" s="546">
        <v>0.40634410878976096</v>
      </c>
      <c r="D52" s="546">
        <v>0.24960967472257325</v>
      </c>
      <c r="E52" s="546">
        <v>0.21685729418669566</v>
      </c>
      <c r="F52" s="546">
        <v>0.18087505050373409</v>
      </c>
      <c r="G52" s="546">
        <v>0.21654813562272321</v>
      </c>
      <c r="H52" s="18"/>
      <c r="I52" s="14" t="s">
        <v>169</v>
      </c>
      <c r="J52" s="41" t="s">
        <v>152</v>
      </c>
      <c r="K52" s="41"/>
      <c r="L52" s="41"/>
      <c r="M52" s="41"/>
      <c r="N52" s="41"/>
      <c r="O52" s="41"/>
      <c r="P52" s="64"/>
      <c r="Q52" s="14" t="s">
        <v>170</v>
      </c>
      <c r="R52" s="39" t="s">
        <v>157</v>
      </c>
      <c r="S52" s="39"/>
      <c r="T52" s="39"/>
      <c r="U52" s="39"/>
      <c r="V52" s="39"/>
      <c r="W52" s="39"/>
    </row>
    <row r="53" spans="1:23" x14ac:dyDescent="0.35">
      <c r="A53" s="58"/>
      <c r="B53" s="39"/>
      <c r="C53" s="546"/>
      <c r="D53" s="546"/>
      <c r="E53" s="546"/>
      <c r="F53" s="546"/>
      <c r="G53" s="559"/>
      <c r="H53" s="63"/>
      <c r="I53" s="14"/>
      <c r="J53" s="41" t="s">
        <v>153</v>
      </c>
      <c r="K53" s="42">
        <v>1.237263220971254</v>
      </c>
      <c r="L53" s="42">
        <v>1.1688451293823741</v>
      </c>
      <c r="M53" s="42">
        <v>1.0698886957108855</v>
      </c>
      <c r="N53" s="42">
        <v>0.95951062572793444</v>
      </c>
      <c r="O53" s="42">
        <v>1.1759532771804266</v>
      </c>
      <c r="P53" s="64"/>
      <c r="Q53" s="14"/>
      <c r="R53" s="39" t="s">
        <v>160</v>
      </c>
      <c r="S53" s="546">
        <v>0.20184121493306534</v>
      </c>
      <c r="T53" s="546">
        <v>0.1723517147398303</v>
      </c>
      <c r="U53" s="546">
        <v>0.19532038202804933</v>
      </c>
      <c r="V53" s="546">
        <v>0.1642187097862069</v>
      </c>
      <c r="W53" s="546">
        <v>0.21232688837957778</v>
      </c>
    </row>
    <row r="54" spans="1:23" x14ac:dyDescent="0.35">
      <c r="A54" s="14"/>
      <c r="B54" s="41" t="s">
        <v>149</v>
      </c>
      <c r="C54" s="550"/>
      <c r="D54" s="550"/>
      <c r="E54" s="550"/>
      <c r="F54" s="550"/>
      <c r="G54" s="548"/>
      <c r="H54" s="63"/>
      <c r="I54" s="14"/>
      <c r="J54" s="59"/>
      <c r="K54" s="59"/>
      <c r="L54" s="59"/>
      <c r="M54" s="59"/>
      <c r="N54" s="59"/>
      <c r="O54" s="59"/>
      <c r="P54" s="64"/>
      <c r="Q54" s="14"/>
      <c r="R54" s="39"/>
      <c r="S54" s="546"/>
      <c r="T54" s="546"/>
      <c r="U54" s="546"/>
      <c r="V54" s="546"/>
      <c r="W54" s="546"/>
    </row>
    <row r="55" spans="1:23" x14ac:dyDescent="0.35">
      <c r="A55" s="14"/>
      <c r="B55" s="41" t="s">
        <v>156</v>
      </c>
      <c r="C55" s="550">
        <v>12.052512212142357</v>
      </c>
      <c r="D55" s="550">
        <v>10.204119850187267</v>
      </c>
      <c r="E55" s="550">
        <v>6.9371493989696615</v>
      </c>
      <c r="F55" s="550">
        <v>6.2711251694532333</v>
      </c>
      <c r="G55" s="550">
        <v>7.260004168403503</v>
      </c>
      <c r="H55" s="18"/>
      <c r="I55" s="64"/>
      <c r="O55" s="18"/>
      <c r="P55" s="64"/>
      <c r="Q55" s="14"/>
      <c r="R55" s="41" t="s">
        <v>159</v>
      </c>
      <c r="S55" s="550"/>
      <c r="T55" s="550"/>
      <c r="U55" s="550"/>
      <c r="V55" s="550"/>
      <c r="W55" s="550"/>
    </row>
    <row r="56" spans="1:23" x14ac:dyDescent="0.35">
      <c r="A56" s="14"/>
      <c r="B56" s="41"/>
      <c r="C56" s="550"/>
      <c r="D56" s="550"/>
      <c r="E56" s="550"/>
      <c r="F56" s="550"/>
      <c r="G56" s="548"/>
      <c r="H56" s="63"/>
      <c r="I56" s="64"/>
      <c r="O56" s="18"/>
      <c r="P56" s="64"/>
      <c r="Q56" s="14"/>
      <c r="R56" s="41" t="s">
        <v>158</v>
      </c>
      <c r="S56" s="550">
        <v>0.53752415732288239</v>
      </c>
      <c r="T56" s="550">
        <v>0.92265033353889592</v>
      </c>
      <c r="U56" s="550">
        <v>-2.7480805011521108</v>
      </c>
      <c r="V56" s="550">
        <v>-1.6984514064411487</v>
      </c>
      <c r="W56" s="550">
        <v>-1.1131758916016874</v>
      </c>
    </row>
    <row r="57" spans="1:23" x14ac:dyDescent="0.35">
      <c r="A57" s="14"/>
      <c r="B57" s="61" t="s">
        <v>150</v>
      </c>
      <c r="C57" s="560"/>
      <c r="D57" s="560"/>
      <c r="E57" s="560"/>
      <c r="F57" s="560"/>
      <c r="G57" s="561"/>
      <c r="H57" s="63"/>
      <c r="I57" s="64"/>
      <c r="O57" s="18"/>
      <c r="P57" s="64"/>
      <c r="W57" s="18"/>
    </row>
    <row r="58" spans="1:23" x14ac:dyDescent="0.35">
      <c r="A58" s="14"/>
      <c r="B58" s="61" t="s">
        <v>151</v>
      </c>
      <c r="C58" s="560">
        <v>-0.37394514004487228</v>
      </c>
      <c r="D58" s="560">
        <v>-0.27740564017862607</v>
      </c>
      <c r="E58" s="560">
        <v>-0.30053138821044295</v>
      </c>
      <c r="F58" s="560">
        <v>-0.33392779939472533</v>
      </c>
      <c r="G58" s="560">
        <v>-0.39354357156185843</v>
      </c>
      <c r="H58" s="18"/>
      <c r="I58" s="64"/>
      <c r="O58" s="18"/>
      <c r="P58" s="64"/>
      <c r="W58" s="18"/>
    </row>
    <row r="59" spans="1:23" x14ac:dyDescent="0.35">
      <c r="A59" s="64"/>
      <c r="B59" s="7"/>
      <c r="C59" s="562"/>
      <c r="D59" s="562"/>
      <c r="E59" s="562"/>
      <c r="F59" s="562"/>
      <c r="G59" s="562"/>
      <c r="H59" s="18"/>
      <c r="I59" s="64"/>
      <c r="J59" s="7"/>
      <c r="K59" s="7"/>
      <c r="L59" s="7"/>
      <c r="M59" s="7"/>
      <c r="N59" s="7"/>
      <c r="O59" s="7"/>
      <c r="P59" s="64"/>
      <c r="R59" s="7"/>
      <c r="S59" s="7"/>
      <c r="T59" s="7"/>
      <c r="U59" s="7"/>
      <c r="V59" s="7"/>
      <c r="W59" s="7"/>
    </row>
    <row r="60" spans="1:23" x14ac:dyDescent="0.35">
      <c r="A60" s="64"/>
      <c r="B60" s="7"/>
      <c r="C60" s="7"/>
      <c r="D60" s="7"/>
      <c r="E60" s="7"/>
      <c r="F60" s="7"/>
      <c r="G60" s="7"/>
      <c r="H60" s="18"/>
      <c r="I60" s="64"/>
      <c r="J60" s="7"/>
      <c r="K60" s="7"/>
      <c r="L60" s="7"/>
      <c r="M60" s="7"/>
      <c r="N60" s="7"/>
      <c r="O60" s="7"/>
      <c r="P60" s="64"/>
      <c r="R60" s="7"/>
      <c r="S60" s="7"/>
      <c r="T60" s="7"/>
      <c r="U60" s="7"/>
      <c r="V60" s="7"/>
      <c r="W60" s="7"/>
    </row>
    <row r="61" spans="1:23" x14ac:dyDescent="0.35">
      <c r="A61" s="64"/>
      <c r="B61" s="7"/>
      <c r="C61" s="7"/>
      <c r="D61" s="7"/>
      <c r="E61" s="7"/>
      <c r="F61" s="7"/>
      <c r="G61" s="7"/>
      <c r="H61" s="18"/>
      <c r="I61" s="64"/>
      <c r="J61" s="7"/>
      <c r="K61" s="7"/>
      <c r="L61" s="7"/>
      <c r="M61" s="7"/>
      <c r="N61" s="7"/>
      <c r="O61" s="7"/>
      <c r="P61" s="64"/>
      <c r="R61" s="7"/>
      <c r="S61" s="7"/>
      <c r="T61" s="7"/>
      <c r="U61" s="7"/>
      <c r="V61" s="7"/>
      <c r="W61" s="7"/>
    </row>
    <row r="62" spans="1:23" x14ac:dyDescent="0.35">
      <c r="A62" s="64"/>
      <c r="B62" s="7"/>
      <c r="C62" s="7"/>
      <c r="D62" s="7"/>
      <c r="E62" s="7"/>
      <c r="F62" s="7"/>
      <c r="G62" s="7"/>
      <c r="H62" s="18"/>
      <c r="I62" s="64"/>
      <c r="J62" s="7"/>
      <c r="K62" s="7"/>
      <c r="L62" s="7"/>
      <c r="M62" s="7"/>
      <c r="N62" s="7"/>
      <c r="O62" s="7"/>
      <c r="P62" s="64"/>
      <c r="R62" s="7"/>
      <c r="S62" s="7"/>
      <c r="T62" s="7"/>
      <c r="U62" s="7"/>
      <c r="V62" s="7"/>
      <c r="W62" s="7"/>
    </row>
    <row r="63" spans="1:23" x14ac:dyDescent="0.35">
      <c r="A63" s="64"/>
      <c r="B63" s="7"/>
      <c r="C63" s="7"/>
      <c r="D63" s="7"/>
      <c r="E63" s="7"/>
      <c r="F63" s="7"/>
      <c r="G63" s="7"/>
      <c r="H63" s="18"/>
      <c r="I63" s="64"/>
      <c r="J63" s="7"/>
      <c r="K63" s="7"/>
      <c r="L63" s="7"/>
      <c r="M63" s="7"/>
      <c r="N63" s="7"/>
      <c r="O63" s="7"/>
      <c r="P63" s="64"/>
      <c r="R63" s="7"/>
      <c r="S63" s="7"/>
      <c r="T63" s="7"/>
      <c r="U63" s="7"/>
      <c r="V63" s="7"/>
      <c r="W63" s="7"/>
    </row>
    <row r="64" spans="1:23" x14ac:dyDescent="0.35">
      <c r="A64" s="64"/>
      <c r="B64" s="7"/>
      <c r="C64" s="7"/>
      <c r="D64" s="7"/>
      <c r="E64" s="7"/>
      <c r="F64" s="7"/>
      <c r="G64" s="7"/>
      <c r="H64" s="18"/>
      <c r="I64" s="64"/>
      <c r="J64" s="7"/>
      <c r="K64" s="7"/>
      <c r="L64" s="7"/>
      <c r="M64" s="7"/>
      <c r="N64" s="7"/>
      <c r="O64" s="7"/>
      <c r="P64" s="64"/>
      <c r="R64" s="7"/>
      <c r="S64" s="7"/>
      <c r="T64" s="7"/>
      <c r="U64" s="7"/>
      <c r="V64" s="7"/>
      <c r="W64" s="7"/>
    </row>
    <row r="65" spans="1:23" x14ac:dyDescent="0.35">
      <c r="A65" s="64"/>
      <c r="B65" s="7"/>
      <c r="C65" s="7"/>
      <c r="D65" s="7"/>
      <c r="E65" s="7"/>
      <c r="F65" s="7"/>
      <c r="G65" s="7"/>
      <c r="H65" s="18"/>
      <c r="I65" s="64"/>
      <c r="J65" s="7"/>
      <c r="K65" s="7"/>
      <c r="L65" s="7"/>
      <c r="M65" s="7"/>
      <c r="N65" s="7"/>
      <c r="O65" s="7"/>
      <c r="P65" s="64"/>
      <c r="R65" s="7"/>
      <c r="S65" s="7"/>
      <c r="T65" s="7"/>
      <c r="U65" s="7"/>
      <c r="V65" s="7"/>
      <c r="W65" s="7"/>
    </row>
    <row r="66" spans="1:23" x14ac:dyDescent="0.35">
      <c r="A66" s="64"/>
      <c r="B66" s="7"/>
      <c r="C66" s="7"/>
      <c r="D66" s="7"/>
      <c r="E66" s="7"/>
      <c r="F66" s="7"/>
      <c r="G66" s="7"/>
      <c r="H66" s="18"/>
      <c r="I66" s="64"/>
      <c r="J66" s="7"/>
      <c r="K66" s="7"/>
      <c r="L66" s="7"/>
      <c r="M66" s="7"/>
      <c r="N66" s="7"/>
      <c r="O66" s="7"/>
      <c r="P66" s="64"/>
      <c r="R66" s="7"/>
      <c r="S66" s="7"/>
      <c r="T66" s="7"/>
      <c r="U66" s="7"/>
      <c r="V66" s="7"/>
      <c r="W66" s="7"/>
    </row>
    <row r="67" spans="1:23" x14ac:dyDescent="0.35">
      <c r="A67" s="64"/>
      <c r="B67" s="7"/>
      <c r="C67" s="7"/>
      <c r="D67" s="7"/>
      <c r="E67" s="7"/>
      <c r="F67" s="7"/>
      <c r="G67" s="7"/>
      <c r="H67" s="18"/>
      <c r="I67" s="64"/>
      <c r="J67" s="7"/>
      <c r="K67" s="7"/>
      <c r="L67" s="7"/>
      <c r="M67" s="7"/>
      <c r="N67" s="7"/>
      <c r="O67" s="7"/>
      <c r="P67" s="64"/>
      <c r="R67" s="7"/>
      <c r="S67" s="7"/>
      <c r="T67" s="7"/>
      <c r="U67" s="7"/>
      <c r="V67" s="7"/>
      <c r="W67" s="7"/>
    </row>
    <row r="68" spans="1:23" x14ac:dyDescent="0.35">
      <c r="A68" s="64"/>
      <c r="B68" s="7"/>
      <c r="C68" s="7"/>
      <c r="D68" s="7"/>
      <c r="E68" s="7"/>
      <c r="F68" s="7"/>
      <c r="G68" s="7"/>
      <c r="H68" s="18"/>
      <c r="I68" s="64"/>
      <c r="J68" s="7"/>
      <c r="K68" s="7"/>
      <c r="L68" s="7"/>
      <c r="M68" s="7"/>
      <c r="N68" s="7"/>
      <c r="O68" s="7"/>
      <c r="P68" s="64"/>
      <c r="R68" s="7"/>
      <c r="S68" s="7"/>
      <c r="T68" s="7"/>
      <c r="U68" s="7"/>
      <c r="V68" s="7"/>
      <c r="W68" s="7"/>
    </row>
    <row r="69" spans="1:23" x14ac:dyDescent="0.35">
      <c r="A69" s="64"/>
      <c r="B69" s="7"/>
      <c r="C69" s="7"/>
      <c r="D69" s="7"/>
      <c r="E69" s="7"/>
      <c r="F69" s="7"/>
      <c r="G69" s="7"/>
      <c r="H69" s="18"/>
      <c r="I69" s="64"/>
      <c r="J69" s="7"/>
      <c r="K69" s="7"/>
      <c r="L69" s="7"/>
      <c r="M69" s="7"/>
      <c r="N69" s="7"/>
      <c r="O69" s="7"/>
      <c r="P69" s="64"/>
      <c r="R69" s="7"/>
      <c r="S69" s="7"/>
      <c r="T69" s="7"/>
      <c r="U69" s="7"/>
      <c r="V69" s="7"/>
      <c r="W69" s="7"/>
    </row>
    <row r="70" spans="1:23" x14ac:dyDescent="0.35">
      <c r="A70" s="64"/>
      <c r="B70" s="7"/>
      <c r="C70" s="7"/>
      <c r="D70" s="7"/>
      <c r="E70" s="7"/>
      <c r="F70" s="7"/>
      <c r="G70" s="7"/>
      <c r="H70" s="18"/>
      <c r="I70" s="64"/>
      <c r="J70" s="7"/>
      <c r="K70" s="7"/>
      <c r="L70" s="7"/>
      <c r="M70" s="7"/>
      <c r="N70" s="7"/>
      <c r="O70" s="7"/>
      <c r="P70" s="64"/>
      <c r="R70" s="7"/>
      <c r="S70" s="7"/>
      <c r="T70" s="7"/>
      <c r="U70" s="7"/>
      <c r="V70" s="7"/>
      <c r="W70" s="7"/>
    </row>
    <row r="71" spans="1:23" x14ac:dyDescent="0.35">
      <c r="A71" s="64"/>
      <c r="B71" s="7"/>
      <c r="C71" s="7"/>
      <c r="D71" s="7"/>
      <c r="E71" s="7"/>
      <c r="F71" s="7"/>
      <c r="G71" s="7"/>
      <c r="H71" s="18"/>
      <c r="I71" s="64"/>
      <c r="J71" s="7"/>
      <c r="K71" s="7"/>
      <c r="L71" s="7"/>
      <c r="M71" s="7"/>
      <c r="N71" s="7"/>
      <c r="O71" s="7"/>
      <c r="P71" s="64"/>
      <c r="R71" s="7"/>
      <c r="S71" s="7"/>
      <c r="T71" s="7"/>
      <c r="U71" s="7"/>
      <c r="V71" s="7"/>
      <c r="W71" s="7"/>
    </row>
    <row r="72" spans="1:23" x14ac:dyDescent="0.35">
      <c r="A72" s="64"/>
      <c r="B72" s="7"/>
      <c r="C72" s="7"/>
      <c r="D72" s="7"/>
      <c r="E72" s="7"/>
      <c r="F72" s="7"/>
      <c r="G72" s="7"/>
      <c r="H72" s="18"/>
      <c r="I72" s="64"/>
      <c r="J72" s="7"/>
      <c r="K72" s="7"/>
      <c r="L72" s="7"/>
      <c r="M72" s="7"/>
      <c r="N72" s="7"/>
      <c r="O72" s="7"/>
      <c r="P72" s="64"/>
      <c r="R72" s="7"/>
      <c r="S72" s="7"/>
      <c r="T72" s="7"/>
      <c r="U72" s="7"/>
      <c r="V72" s="7"/>
      <c r="W72" s="7"/>
    </row>
    <row r="73" spans="1:23" x14ac:dyDescent="0.35">
      <c r="A73" s="64"/>
      <c r="B73" s="7"/>
      <c r="C73" s="7"/>
      <c r="D73" s="7"/>
      <c r="E73" s="7"/>
      <c r="F73" s="7"/>
      <c r="G73" s="7"/>
      <c r="H73" s="18"/>
      <c r="I73" s="64"/>
      <c r="J73" s="7"/>
      <c r="K73" s="7"/>
      <c r="L73" s="7"/>
      <c r="M73" s="7"/>
      <c r="N73" s="7"/>
      <c r="O73" s="7"/>
      <c r="P73" s="64"/>
      <c r="R73" s="7"/>
      <c r="S73" s="7"/>
      <c r="T73" s="7"/>
      <c r="U73" s="7"/>
      <c r="V73" s="7"/>
      <c r="W73" s="7"/>
    </row>
    <row r="74" spans="1:23" x14ac:dyDescent="0.35">
      <c r="A74" s="64"/>
      <c r="B74" s="7"/>
      <c r="C74" s="7"/>
      <c r="D74" s="7"/>
      <c r="E74" s="7"/>
      <c r="F74" s="7"/>
      <c r="G74" s="7"/>
      <c r="H74" s="18"/>
      <c r="I74" s="64"/>
      <c r="J74" s="7"/>
      <c r="K74" s="7"/>
      <c r="L74" s="7"/>
      <c r="M74" s="7"/>
      <c r="N74" s="7"/>
      <c r="O74" s="7"/>
      <c r="P74" s="64"/>
      <c r="R74" s="7"/>
      <c r="S74" s="7"/>
      <c r="T74" s="7"/>
      <c r="U74" s="7"/>
      <c r="V74" s="7"/>
      <c r="W74" s="7"/>
    </row>
    <row r="75" spans="1:23" x14ac:dyDescent="0.35">
      <c r="A75" s="64"/>
      <c r="H75" s="18"/>
      <c r="I75" s="64"/>
      <c r="O75" s="18"/>
      <c r="P75" s="64"/>
      <c r="W75" s="18"/>
    </row>
    <row r="76" spans="1:23" x14ac:dyDescent="0.35">
      <c r="A76" s="56" t="s">
        <v>204</v>
      </c>
      <c r="B76" s="3"/>
      <c r="C76" s="3"/>
      <c r="D76" s="3"/>
      <c r="E76" s="3"/>
      <c r="F76" s="3"/>
      <c r="G76" s="3"/>
      <c r="H76" s="18"/>
      <c r="I76" s="56" t="s">
        <v>208</v>
      </c>
      <c r="J76" s="3"/>
      <c r="K76" s="3"/>
      <c r="L76" s="3"/>
      <c r="M76" s="3"/>
      <c r="N76" s="3"/>
      <c r="O76" s="18"/>
      <c r="P76" s="816" t="s">
        <v>211</v>
      </c>
      <c r="Q76" s="817"/>
      <c r="R76" s="817"/>
      <c r="S76" s="3"/>
      <c r="T76" s="3"/>
      <c r="U76" s="3"/>
      <c r="V76" s="3"/>
      <c r="W76" s="18"/>
    </row>
    <row r="77" spans="1:23" x14ac:dyDescent="0.35">
      <c r="A77" s="803" t="s">
        <v>200</v>
      </c>
      <c r="B77" s="804"/>
      <c r="C77" s="804"/>
      <c r="D77" s="804"/>
      <c r="E77" s="804"/>
      <c r="F77" s="804"/>
      <c r="G77" s="804"/>
      <c r="H77" s="18"/>
      <c r="I77" s="803" t="s">
        <v>207</v>
      </c>
      <c r="J77" s="804"/>
      <c r="K77" s="804"/>
      <c r="L77" s="804"/>
      <c r="M77" s="804"/>
      <c r="N77" s="804"/>
      <c r="O77" s="18"/>
      <c r="P77" s="803" t="s">
        <v>209</v>
      </c>
      <c r="Q77" s="804"/>
      <c r="R77" s="804"/>
      <c r="S77" s="804"/>
      <c r="T77" s="804"/>
      <c r="U77" s="804"/>
      <c r="V77" s="804"/>
      <c r="W77" s="18"/>
    </row>
    <row r="78" spans="1:23" x14ac:dyDescent="0.35">
      <c r="A78" s="803"/>
      <c r="B78" s="804"/>
      <c r="C78" s="804"/>
      <c r="D78" s="804"/>
      <c r="E78" s="804"/>
      <c r="F78" s="804"/>
      <c r="G78" s="804"/>
      <c r="H78" s="18"/>
      <c r="I78" s="803"/>
      <c r="J78" s="804"/>
      <c r="K78" s="804"/>
      <c r="L78" s="804"/>
      <c r="M78" s="804"/>
      <c r="N78" s="804"/>
      <c r="O78" s="18"/>
      <c r="P78" s="803"/>
      <c r="Q78" s="804"/>
      <c r="R78" s="804"/>
      <c r="S78" s="804"/>
      <c r="T78" s="804"/>
      <c r="U78" s="804"/>
      <c r="V78" s="804"/>
      <c r="W78" s="18"/>
    </row>
    <row r="79" spans="1:23" x14ac:dyDescent="0.35">
      <c r="A79" s="64"/>
      <c r="H79" s="18"/>
      <c r="I79" s="803"/>
      <c r="J79" s="804"/>
      <c r="K79" s="804"/>
      <c r="L79" s="804"/>
      <c r="M79" s="804"/>
      <c r="N79" s="804"/>
      <c r="O79" s="18"/>
      <c r="P79" s="64"/>
      <c r="W79" s="18"/>
    </row>
    <row r="80" spans="1:23" x14ac:dyDescent="0.35">
      <c r="A80" s="56"/>
      <c r="H80" s="18"/>
      <c r="I80" s="64"/>
      <c r="O80" s="18"/>
      <c r="P80" s="64"/>
      <c r="W80" s="18"/>
    </row>
    <row r="81" spans="1:23" ht="14.5" customHeight="1" x14ac:dyDescent="0.35">
      <c r="A81" s="67" t="s">
        <v>205</v>
      </c>
      <c r="B81" s="68"/>
      <c r="C81" s="69"/>
      <c r="D81" s="69"/>
      <c r="E81" s="69"/>
      <c r="F81" s="69"/>
      <c r="G81" s="69"/>
      <c r="H81" s="18"/>
      <c r="I81" s="64"/>
      <c r="O81" s="18"/>
      <c r="P81" s="816" t="s">
        <v>212</v>
      </c>
      <c r="Q81" s="817"/>
      <c r="R81" s="817"/>
      <c r="S81" s="3"/>
      <c r="T81" s="3"/>
      <c r="U81" s="3"/>
      <c r="V81" s="3"/>
      <c r="W81" s="18"/>
    </row>
    <row r="82" spans="1:23" ht="14.5" customHeight="1" x14ac:dyDescent="0.35">
      <c r="A82" s="807" t="s">
        <v>201</v>
      </c>
      <c r="B82" s="808"/>
      <c r="C82" s="808"/>
      <c r="D82" s="808"/>
      <c r="E82" s="808"/>
      <c r="F82" s="808"/>
      <c r="G82" s="808"/>
      <c r="H82" s="18"/>
      <c r="I82" s="64"/>
      <c r="O82" s="18"/>
      <c r="P82" s="803" t="s">
        <v>210</v>
      </c>
      <c r="Q82" s="804"/>
      <c r="R82" s="804"/>
      <c r="S82" s="804"/>
      <c r="T82" s="804"/>
      <c r="U82" s="804"/>
      <c r="V82" s="804"/>
      <c r="W82" s="18"/>
    </row>
    <row r="83" spans="1:23" x14ac:dyDescent="0.35">
      <c r="A83" s="807"/>
      <c r="B83" s="808"/>
      <c r="C83" s="808"/>
      <c r="D83" s="808"/>
      <c r="E83" s="808"/>
      <c r="F83" s="808"/>
      <c r="G83" s="808"/>
      <c r="H83" s="18"/>
      <c r="I83" s="64"/>
      <c r="O83" s="18"/>
      <c r="P83" s="803"/>
      <c r="Q83" s="804"/>
      <c r="R83" s="804"/>
      <c r="S83" s="804"/>
      <c r="T83" s="804"/>
      <c r="U83" s="804"/>
      <c r="V83" s="804"/>
      <c r="W83" s="18"/>
    </row>
    <row r="84" spans="1:23" x14ac:dyDescent="0.35">
      <c r="A84" s="64"/>
      <c r="H84" s="18"/>
      <c r="I84" s="64"/>
      <c r="O84" s="18"/>
      <c r="P84" s="64"/>
      <c r="W84" s="18"/>
    </row>
    <row r="85" spans="1:23" x14ac:dyDescent="0.35">
      <c r="A85" s="64"/>
      <c r="H85" s="18"/>
      <c r="I85" s="64"/>
      <c r="O85" s="18"/>
      <c r="P85" s="64"/>
      <c r="W85" s="18"/>
    </row>
    <row r="86" spans="1:23" x14ac:dyDescent="0.35">
      <c r="A86" s="56" t="s">
        <v>206</v>
      </c>
      <c r="B86" s="3"/>
      <c r="C86" s="3"/>
      <c r="D86" s="3"/>
      <c r="E86" s="3"/>
      <c r="F86" s="3"/>
      <c r="G86" s="3"/>
      <c r="H86" s="18"/>
      <c r="I86" s="64"/>
      <c r="O86" s="18"/>
      <c r="P86" s="64"/>
      <c r="W86" s="18"/>
    </row>
    <row r="87" spans="1:23" x14ac:dyDescent="0.35">
      <c r="A87" s="803" t="s">
        <v>202</v>
      </c>
      <c r="B87" s="804"/>
      <c r="C87" s="804"/>
      <c r="D87" s="804"/>
      <c r="E87" s="804"/>
      <c r="F87" s="804"/>
      <c r="G87" s="804"/>
      <c r="H87" s="18"/>
      <c r="I87" s="64"/>
      <c r="O87" s="18"/>
      <c r="P87" s="64"/>
      <c r="W87" s="18"/>
    </row>
    <row r="88" spans="1:23" x14ac:dyDescent="0.35">
      <c r="A88" s="803"/>
      <c r="B88" s="804"/>
      <c r="C88" s="804"/>
      <c r="D88" s="804"/>
      <c r="E88" s="804"/>
      <c r="F88" s="804"/>
      <c r="G88" s="804"/>
      <c r="H88" s="18"/>
      <c r="I88" s="64"/>
      <c r="O88" s="18"/>
      <c r="P88" s="64"/>
      <c r="W88" s="18"/>
    </row>
    <row r="89" spans="1:23" x14ac:dyDescent="0.35">
      <c r="A89" s="64"/>
      <c r="H89" s="18"/>
      <c r="I89" s="64"/>
      <c r="O89" s="18"/>
      <c r="P89" s="64"/>
      <c r="W89" s="18"/>
    </row>
    <row r="90" spans="1:23" x14ac:dyDescent="0.35">
      <c r="A90" s="64"/>
      <c r="H90" s="18"/>
      <c r="I90" s="64"/>
      <c r="O90" s="18"/>
      <c r="P90" s="64"/>
      <c r="W90" s="18"/>
    </row>
    <row r="91" spans="1:23" x14ac:dyDescent="0.35">
      <c r="A91" s="64"/>
      <c r="H91" s="18"/>
      <c r="I91" s="64"/>
      <c r="O91" s="18"/>
      <c r="P91" s="64"/>
      <c r="W91" s="18"/>
    </row>
    <row r="92" spans="1:23" x14ac:dyDescent="0.35">
      <c r="A92" s="64"/>
      <c r="H92" s="18"/>
      <c r="I92" s="64"/>
      <c r="O92" s="18"/>
      <c r="P92" s="64"/>
      <c r="W92" s="18"/>
    </row>
    <row r="93" spans="1:23" x14ac:dyDescent="0.35">
      <c r="A93" s="64"/>
      <c r="H93" s="18"/>
      <c r="I93" s="64"/>
      <c r="O93" s="18"/>
      <c r="P93" s="64"/>
      <c r="W93" s="18"/>
    </row>
    <row r="94" spans="1:23" x14ac:dyDescent="0.35">
      <c r="A94" s="66"/>
      <c r="B94" s="19"/>
      <c r="C94" s="19"/>
      <c r="D94" s="19"/>
      <c r="E94" s="19"/>
      <c r="F94" s="19"/>
      <c r="G94" s="19"/>
      <c r="H94" s="20"/>
      <c r="I94" s="66"/>
      <c r="J94" s="19"/>
      <c r="K94" s="19"/>
      <c r="L94" s="19"/>
      <c r="M94" s="19"/>
      <c r="N94" s="19"/>
      <c r="O94" s="20"/>
      <c r="P94" s="66"/>
      <c r="Q94" s="19"/>
      <c r="R94" s="19"/>
      <c r="S94" s="19"/>
      <c r="T94" s="19"/>
      <c r="U94" s="19"/>
      <c r="V94" s="19"/>
      <c r="W94" s="20"/>
    </row>
    <row r="95" spans="1:23" x14ac:dyDescent="0.35">
      <c r="A95" s="65"/>
      <c r="B95" s="16"/>
      <c r="C95" s="16"/>
      <c r="D95" s="16"/>
      <c r="E95" s="16"/>
      <c r="F95" s="16"/>
      <c r="G95" s="16"/>
      <c r="H95" s="17"/>
      <c r="I95" s="65"/>
      <c r="J95" s="16"/>
      <c r="K95" s="16"/>
      <c r="L95" s="16"/>
      <c r="M95" s="16"/>
      <c r="N95" s="16"/>
      <c r="O95" s="17"/>
      <c r="P95" s="64"/>
    </row>
    <row r="96" spans="1:23" x14ac:dyDescent="0.35">
      <c r="A96" s="805" t="s">
        <v>193</v>
      </c>
      <c r="B96" s="806"/>
      <c r="C96" s="806"/>
      <c r="D96" s="802" t="s">
        <v>194</v>
      </c>
      <c r="E96" s="802"/>
      <c r="F96" s="802"/>
      <c r="H96" s="18"/>
      <c r="I96" s="805" t="s">
        <v>193</v>
      </c>
      <c r="J96" s="806"/>
      <c r="K96" s="806"/>
      <c r="L96" s="802" t="s">
        <v>194</v>
      </c>
      <c r="M96" s="802"/>
      <c r="N96" s="802"/>
      <c r="O96" s="18"/>
      <c r="P96" s="64"/>
    </row>
    <row r="97" spans="1:16" x14ac:dyDescent="0.35">
      <c r="A97" s="64"/>
      <c r="H97" s="18"/>
      <c r="I97" s="64"/>
      <c r="O97" s="18"/>
      <c r="P97" s="64"/>
    </row>
    <row r="98" spans="1:16" x14ac:dyDescent="0.35">
      <c r="A98" s="14"/>
      <c r="B98" s="57" t="s">
        <v>195</v>
      </c>
      <c r="C98" s="501">
        <v>2014</v>
      </c>
      <c r="D98" s="501">
        <v>2015</v>
      </c>
      <c r="E98" s="501">
        <v>2016</v>
      </c>
      <c r="F98" s="501">
        <v>2017</v>
      </c>
      <c r="G98" s="501">
        <v>2018</v>
      </c>
      <c r="H98" s="18"/>
      <c r="I98" s="14"/>
      <c r="J98" s="57" t="s">
        <v>195</v>
      </c>
      <c r="K98" s="501">
        <v>2014</v>
      </c>
      <c r="L98" s="501">
        <v>2015</v>
      </c>
      <c r="M98" s="501">
        <v>2016</v>
      </c>
      <c r="N98" s="501">
        <v>2017</v>
      </c>
      <c r="O98" s="501">
        <v>2018</v>
      </c>
      <c r="P98" s="64"/>
    </row>
    <row r="99" spans="1:16" x14ac:dyDescent="0.35">
      <c r="A99" s="809" t="s">
        <v>171</v>
      </c>
      <c r="B99" s="39" t="s">
        <v>162</v>
      </c>
      <c r="C99" s="39"/>
      <c r="D99" s="39"/>
      <c r="E99" s="39"/>
      <c r="F99" s="39"/>
      <c r="G99" s="39"/>
      <c r="H99" s="18"/>
      <c r="I99" s="14" t="s">
        <v>220</v>
      </c>
      <c r="J99" s="10" t="s">
        <v>223</v>
      </c>
      <c r="K99" s="10"/>
      <c r="L99" s="10"/>
      <c r="M99" s="10"/>
      <c r="N99" s="10"/>
      <c r="O99" s="10"/>
      <c r="P99" s="64"/>
    </row>
    <row r="100" spans="1:16" x14ac:dyDescent="0.35">
      <c r="A100" s="809"/>
      <c r="B100" s="813" t="s">
        <v>161</v>
      </c>
      <c r="C100" s="40">
        <v>0.66128258190841105</v>
      </c>
      <c r="D100" s="40">
        <v>0.59141189676417449</v>
      </c>
      <c r="E100" s="40">
        <v>0.52993001704842757</v>
      </c>
      <c r="F100" s="40">
        <v>0.42555036038012972</v>
      </c>
      <c r="G100" s="40">
        <v>0.62636936009317579</v>
      </c>
      <c r="H100" s="18"/>
      <c r="I100" s="14"/>
      <c r="J100" s="10" t="s">
        <v>165</v>
      </c>
      <c r="K100" s="38">
        <v>8.0380727053404974E-2</v>
      </c>
      <c r="L100" s="38">
        <v>6.3832865044247789E-2</v>
      </c>
      <c r="M100" s="38">
        <v>6.2706189157103284E-2</v>
      </c>
      <c r="N100" s="38">
        <v>4.1428677210115901E-2</v>
      </c>
      <c r="O100" s="38">
        <v>5.0892687559354235E-2</v>
      </c>
      <c r="P100" s="64"/>
    </row>
    <row r="101" spans="1:16" x14ac:dyDescent="0.35">
      <c r="A101" s="14"/>
      <c r="B101" s="813"/>
      <c r="C101" s="40"/>
      <c r="D101" s="40"/>
      <c r="E101" s="40"/>
      <c r="F101" s="40"/>
      <c r="G101" s="40"/>
      <c r="H101" s="18"/>
      <c r="I101" s="64"/>
      <c r="O101" s="18"/>
      <c r="P101" s="64"/>
    </row>
    <row r="102" spans="1:16" x14ac:dyDescent="0.35">
      <c r="A102" s="14"/>
      <c r="B102" s="41" t="s">
        <v>163</v>
      </c>
      <c r="C102" s="42"/>
      <c r="D102" s="42"/>
      <c r="E102" s="42"/>
      <c r="F102" s="42"/>
      <c r="G102" s="42"/>
      <c r="H102" s="18"/>
      <c r="I102" s="64"/>
      <c r="O102" s="18"/>
      <c r="P102" s="64"/>
    </row>
    <row r="103" spans="1:16" x14ac:dyDescent="0.35">
      <c r="A103" s="14"/>
      <c r="B103" s="814" t="s">
        <v>164</v>
      </c>
      <c r="C103" s="42">
        <v>2.1480986287739809</v>
      </c>
      <c r="D103" s="42">
        <v>2.0242082778689281</v>
      </c>
      <c r="E103" s="42">
        <v>1.9814269831927278</v>
      </c>
      <c r="F103" s="42">
        <v>1.7969700893435201</v>
      </c>
      <c r="G103" s="42">
        <v>2.1397155932307506</v>
      </c>
      <c r="H103" s="18"/>
      <c r="I103" s="64"/>
      <c r="O103" s="18"/>
      <c r="P103" s="64"/>
    </row>
    <row r="104" spans="1:16" x14ac:dyDescent="0.35">
      <c r="A104" s="14"/>
      <c r="B104" s="814"/>
      <c r="C104" s="42"/>
      <c r="D104" s="42"/>
      <c r="E104" s="42"/>
      <c r="F104" s="42"/>
      <c r="G104" s="42"/>
      <c r="H104" s="18"/>
      <c r="I104" s="64"/>
      <c r="O104" s="18"/>
      <c r="P104" s="64"/>
    </row>
    <row r="105" spans="1:16" x14ac:dyDescent="0.35">
      <c r="A105" s="14"/>
      <c r="B105" s="41"/>
      <c r="C105" s="42"/>
      <c r="D105" s="42"/>
      <c r="E105" s="42"/>
      <c r="F105" s="42"/>
      <c r="G105" s="42"/>
      <c r="H105" s="18"/>
      <c r="I105" s="64"/>
      <c r="O105" s="18"/>
      <c r="P105" s="64"/>
    </row>
    <row r="106" spans="1:16" x14ac:dyDescent="0.35">
      <c r="A106" s="14"/>
      <c r="B106" s="815" t="s">
        <v>166</v>
      </c>
      <c r="C106" s="62">
        <v>1.7361694685207887</v>
      </c>
      <c r="D106" s="62">
        <v>1.7318019530427731</v>
      </c>
      <c r="E106" s="62">
        <v>1.8519935682432576</v>
      </c>
      <c r="F106" s="62">
        <v>1.8727985299592129</v>
      </c>
      <c r="G106" s="62">
        <v>1.8195583402438651</v>
      </c>
      <c r="H106" s="18"/>
      <c r="I106" s="64"/>
      <c r="O106" s="18"/>
      <c r="P106" s="64"/>
    </row>
    <row r="107" spans="1:16" x14ac:dyDescent="0.35">
      <c r="A107" s="14"/>
      <c r="B107" s="815"/>
      <c r="C107" s="61"/>
      <c r="D107" s="61"/>
      <c r="E107" s="61"/>
      <c r="F107" s="61"/>
      <c r="G107" s="61"/>
      <c r="H107" s="18"/>
      <c r="I107" s="64"/>
      <c r="O107" s="18"/>
      <c r="P107" s="64"/>
    </row>
    <row r="108" spans="1:16" x14ac:dyDescent="0.35">
      <c r="A108" s="64"/>
      <c r="H108" s="18"/>
      <c r="I108" s="64"/>
      <c r="O108" s="18"/>
      <c r="P108" s="64"/>
    </row>
    <row r="109" spans="1:16" x14ac:dyDescent="0.35">
      <c r="A109" s="64"/>
      <c r="H109" s="18"/>
      <c r="I109" s="64"/>
      <c r="O109" s="18"/>
      <c r="P109" s="64"/>
    </row>
    <row r="110" spans="1:16" x14ac:dyDescent="0.35">
      <c r="A110" s="64"/>
      <c r="H110" s="18"/>
      <c r="I110" s="64"/>
      <c r="O110" s="18"/>
      <c r="P110" s="64"/>
    </row>
    <row r="111" spans="1:16" x14ac:dyDescent="0.35">
      <c r="A111" s="64"/>
      <c r="H111" s="18"/>
      <c r="I111" s="64"/>
      <c r="O111" s="18"/>
      <c r="P111" s="64"/>
    </row>
    <row r="112" spans="1:16" x14ac:dyDescent="0.35">
      <c r="A112" s="64"/>
      <c r="H112" s="18"/>
      <c r="I112" s="64"/>
      <c r="O112" s="18"/>
      <c r="P112" s="64"/>
    </row>
    <row r="113" spans="1:16" x14ac:dyDescent="0.35">
      <c r="A113" s="64"/>
      <c r="H113" s="18"/>
      <c r="I113" s="64"/>
      <c r="O113" s="18"/>
      <c r="P113" s="64"/>
    </row>
    <row r="114" spans="1:16" x14ac:dyDescent="0.35">
      <c r="A114" s="64"/>
      <c r="H114" s="18"/>
      <c r="I114" s="64"/>
      <c r="O114" s="18"/>
      <c r="P114" s="64"/>
    </row>
    <row r="115" spans="1:16" x14ac:dyDescent="0.35">
      <c r="A115" s="64"/>
      <c r="H115" s="18"/>
      <c r="I115" s="64"/>
      <c r="O115" s="18"/>
      <c r="P115" s="64"/>
    </row>
    <row r="116" spans="1:16" x14ac:dyDescent="0.35">
      <c r="A116" s="64"/>
      <c r="H116" s="18"/>
      <c r="I116" s="64"/>
      <c r="O116" s="18"/>
      <c r="P116" s="64"/>
    </row>
    <row r="117" spans="1:16" x14ac:dyDescent="0.35">
      <c r="A117" s="64"/>
      <c r="H117" s="18"/>
      <c r="I117" s="64"/>
      <c r="O117" s="18"/>
      <c r="P117" s="64"/>
    </row>
    <row r="118" spans="1:16" x14ac:dyDescent="0.35">
      <c r="A118" s="64"/>
      <c r="H118" s="18"/>
      <c r="I118" s="64"/>
      <c r="O118" s="18"/>
      <c r="P118" s="64"/>
    </row>
    <row r="119" spans="1:16" x14ac:dyDescent="0.35">
      <c r="A119" s="64"/>
      <c r="H119" s="18"/>
      <c r="I119" s="64"/>
      <c r="O119" s="18"/>
      <c r="P119" s="64"/>
    </row>
    <row r="120" spans="1:16" x14ac:dyDescent="0.35">
      <c r="A120" s="64"/>
      <c r="H120" s="18"/>
      <c r="I120" s="64"/>
      <c r="O120" s="18"/>
      <c r="P120" s="64"/>
    </row>
    <row r="121" spans="1:16" x14ac:dyDescent="0.35">
      <c r="A121" s="64"/>
      <c r="H121" s="18"/>
      <c r="I121" s="64"/>
      <c r="O121" s="18"/>
      <c r="P121" s="64"/>
    </row>
    <row r="122" spans="1:16" x14ac:dyDescent="0.35">
      <c r="A122" s="64"/>
      <c r="H122" s="18"/>
      <c r="I122" s="64"/>
      <c r="O122" s="18"/>
      <c r="P122" s="64"/>
    </row>
    <row r="123" spans="1:16" x14ac:dyDescent="0.35">
      <c r="A123" s="64"/>
      <c r="H123" s="18"/>
      <c r="I123" s="64"/>
      <c r="O123" s="18"/>
      <c r="P123" s="64"/>
    </row>
    <row r="124" spans="1:16" x14ac:dyDescent="0.35">
      <c r="A124" s="64"/>
      <c r="H124" s="18"/>
      <c r="I124" s="64"/>
      <c r="O124" s="18"/>
      <c r="P124" s="64"/>
    </row>
    <row r="125" spans="1:16" x14ac:dyDescent="0.35">
      <c r="A125" s="56" t="s">
        <v>213</v>
      </c>
      <c r="B125" s="3"/>
      <c r="C125" s="3"/>
      <c r="D125" s="3"/>
      <c r="E125" s="3"/>
      <c r="F125" s="3"/>
      <c r="G125" s="3"/>
      <c r="H125" s="18"/>
      <c r="I125" s="56" t="s">
        <v>221</v>
      </c>
      <c r="O125" s="18"/>
      <c r="P125" s="64"/>
    </row>
    <row r="126" spans="1:16" x14ac:dyDescent="0.35">
      <c r="A126" s="803" t="s">
        <v>214</v>
      </c>
      <c r="B126" s="804"/>
      <c r="C126" s="804"/>
      <c r="D126" s="804"/>
      <c r="E126" s="804"/>
      <c r="F126" s="804"/>
      <c r="G126" s="804"/>
      <c r="H126" s="18"/>
      <c r="I126" s="803" t="s">
        <v>222</v>
      </c>
      <c r="J126" s="804"/>
      <c r="K126" s="804"/>
      <c r="L126" s="804"/>
      <c r="M126" s="804"/>
      <c r="N126" s="804"/>
      <c r="O126" s="18"/>
      <c r="P126" s="64"/>
    </row>
    <row r="127" spans="1:16" x14ac:dyDescent="0.35">
      <c r="A127" s="803"/>
      <c r="B127" s="804"/>
      <c r="C127" s="804"/>
      <c r="D127" s="804"/>
      <c r="E127" s="804"/>
      <c r="F127" s="804"/>
      <c r="G127" s="804"/>
      <c r="H127" s="18"/>
      <c r="I127" s="803"/>
      <c r="J127" s="804"/>
      <c r="K127" s="804"/>
      <c r="L127" s="804"/>
      <c r="M127" s="804"/>
      <c r="N127" s="804"/>
      <c r="O127" s="18"/>
      <c r="P127" s="64"/>
    </row>
    <row r="128" spans="1:16" x14ac:dyDescent="0.35">
      <c r="A128" s="64"/>
      <c r="H128" s="18"/>
      <c r="I128" s="64"/>
      <c r="O128" s="18"/>
      <c r="P128" s="64"/>
    </row>
    <row r="129" spans="1:16" x14ac:dyDescent="0.35">
      <c r="A129" s="64"/>
      <c r="H129" s="18"/>
      <c r="I129" s="64"/>
      <c r="O129" s="18"/>
      <c r="P129" s="64"/>
    </row>
    <row r="130" spans="1:16" x14ac:dyDescent="0.35">
      <c r="A130" s="56" t="s">
        <v>215</v>
      </c>
      <c r="H130" s="18"/>
      <c r="I130" s="64"/>
      <c r="O130" s="18"/>
      <c r="P130" s="64"/>
    </row>
    <row r="131" spans="1:16" ht="14.5" customHeight="1" x14ac:dyDescent="0.35">
      <c r="A131" s="71" t="s">
        <v>218</v>
      </c>
      <c r="B131" s="3"/>
      <c r="C131" s="3"/>
      <c r="D131" s="3"/>
      <c r="E131" s="3"/>
      <c r="F131" s="3"/>
      <c r="G131" s="3"/>
      <c r="H131" s="18"/>
      <c r="I131" s="64"/>
      <c r="O131" s="18"/>
      <c r="P131" s="64"/>
    </row>
    <row r="132" spans="1:16" x14ac:dyDescent="0.35">
      <c r="A132" s="803" t="s">
        <v>216</v>
      </c>
      <c r="B132" s="804"/>
      <c r="C132" s="804"/>
      <c r="D132" s="804"/>
      <c r="E132" s="804"/>
      <c r="F132" s="804"/>
      <c r="G132" s="804"/>
      <c r="H132" s="18"/>
      <c r="I132" s="64"/>
      <c r="O132" s="18"/>
      <c r="P132" s="64"/>
    </row>
    <row r="133" spans="1:16" x14ac:dyDescent="0.35">
      <c r="A133" s="803"/>
      <c r="B133" s="804"/>
      <c r="C133" s="804"/>
      <c r="D133" s="804"/>
      <c r="E133" s="804"/>
      <c r="F133" s="804"/>
      <c r="G133" s="804"/>
      <c r="H133" s="18"/>
      <c r="I133" s="64"/>
      <c r="O133" s="18"/>
      <c r="P133" s="64"/>
    </row>
    <row r="134" spans="1:16" x14ac:dyDescent="0.35">
      <c r="A134" s="64"/>
      <c r="H134" s="18"/>
      <c r="I134" s="64"/>
      <c r="O134" s="18"/>
      <c r="P134" s="64"/>
    </row>
    <row r="135" spans="1:16" x14ac:dyDescent="0.35">
      <c r="A135" s="71" t="s">
        <v>219</v>
      </c>
      <c r="B135" s="3"/>
      <c r="C135" s="3"/>
      <c r="D135" s="3"/>
      <c r="E135" s="3"/>
      <c r="F135" s="3"/>
      <c r="G135" s="3"/>
      <c r="H135" s="18"/>
      <c r="I135" s="64"/>
      <c r="O135" s="18"/>
      <c r="P135" s="64"/>
    </row>
    <row r="136" spans="1:16" x14ac:dyDescent="0.35">
      <c r="A136" s="803" t="s">
        <v>217</v>
      </c>
      <c r="B136" s="804"/>
      <c r="C136" s="804"/>
      <c r="D136" s="804"/>
      <c r="E136" s="804"/>
      <c r="F136" s="804"/>
      <c r="G136" s="804"/>
      <c r="H136" s="18"/>
      <c r="I136" s="64"/>
      <c r="O136" s="18"/>
      <c r="P136" s="64"/>
    </row>
    <row r="137" spans="1:16" x14ac:dyDescent="0.35">
      <c r="A137" s="803"/>
      <c r="B137" s="804"/>
      <c r="C137" s="804"/>
      <c r="D137" s="804"/>
      <c r="E137" s="804"/>
      <c r="F137" s="804"/>
      <c r="G137" s="804"/>
      <c r="H137" s="18"/>
      <c r="I137" s="64"/>
      <c r="O137" s="18"/>
      <c r="P137" s="64"/>
    </row>
    <row r="138" spans="1:16" x14ac:dyDescent="0.35">
      <c r="A138" s="64"/>
      <c r="H138" s="18"/>
      <c r="I138" s="64"/>
      <c r="O138" s="18"/>
      <c r="P138" s="64"/>
    </row>
    <row r="139" spans="1:16" x14ac:dyDescent="0.35">
      <c r="A139" s="64"/>
      <c r="H139" s="18"/>
      <c r="I139" s="64"/>
      <c r="O139" s="18"/>
      <c r="P139" s="64"/>
    </row>
    <row r="140" spans="1:16" x14ac:dyDescent="0.35">
      <c r="A140" s="64"/>
      <c r="H140" s="18"/>
      <c r="I140" s="64"/>
      <c r="O140" s="18"/>
      <c r="P140" s="64"/>
    </row>
    <row r="141" spans="1:16" x14ac:dyDescent="0.35">
      <c r="A141" s="64"/>
      <c r="H141" s="18"/>
      <c r="O141" s="18"/>
      <c r="P141" s="64"/>
    </row>
    <row r="142" spans="1:16" x14ac:dyDescent="0.35">
      <c r="A142" s="64"/>
      <c r="H142" s="18"/>
      <c r="I142" s="64"/>
      <c r="O142" s="18"/>
      <c r="P142" s="64"/>
    </row>
    <row r="143" spans="1:16" x14ac:dyDescent="0.35">
      <c r="A143" s="66"/>
      <c r="B143" s="19"/>
      <c r="C143" s="19"/>
      <c r="D143" s="19"/>
      <c r="E143" s="19"/>
      <c r="F143" s="19"/>
      <c r="G143" s="19"/>
      <c r="H143" s="20"/>
      <c r="I143" s="66"/>
      <c r="J143" s="19"/>
      <c r="K143" s="19"/>
      <c r="L143" s="19"/>
      <c r="M143" s="19"/>
      <c r="N143" s="19"/>
      <c r="O143" s="20"/>
      <c r="P143" s="64"/>
    </row>
  </sheetData>
  <sortState xmlns:xlrd2="http://schemas.microsoft.com/office/spreadsheetml/2017/richdata2" columnSort="1" ref="K98:O100">
    <sortCondition ref="K98:O98"/>
  </sortState>
  <mergeCells count="48">
    <mergeCell ref="A39:G41"/>
    <mergeCell ref="A44:G46"/>
    <mergeCell ref="A4:B4"/>
    <mergeCell ref="A29:G31"/>
    <mergeCell ref="A34:G36"/>
    <mergeCell ref="C4:D4"/>
    <mergeCell ref="B5:B6"/>
    <mergeCell ref="I29:N30"/>
    <mergeCell ref="I34:N35"/>
    <mergeCell ref="I39:N40"/>
    <mergeCell ref="Q6:Q7"/>
    <mergeCell ref="P4:R4"/>
    <mergeCell ref="I4:J4"/>
    <mergeCell ref="K4:L4"/>
    <mergeCell ref="J5:J6"/>
    <mergeCell ref="P76:R76"/>
    <mergeCell ref="P81:R81"/>
    <mergeCell ref="P77:V78"/>
    <mergeCell ref="P82:V83"/>
    <mergeCell ref="S4:U4"/>
    <mergeCell ref="P28:R28"/>
    <mergeCell ref="P29:V30"/>
    <mergeCell ref="P33:Q33"/>
    <mergeCell ref="P34:V35"/>
    <mergeCell ref="A136:G137"/>
    <mergeCell ref="I96:K96"/>
    <mergeCell ref="A96:C96"/>
    <mergeCell ref="D96:F96"/>
    <mergeCell ref="B100:B101"/>
    <mergeCell ref="B103:B104"/>
    <mergeCell ref="B106:B107"/>
    <mergeCell ref="A99:A100"/>
    <mergeCell ref="A1:W1"/>
    <mergeCell ref="L96:N96"/>
    <mergeCell ref="I126:N127"/>
    <mergeCell ref="A126:G127"/>
    <mergeCell ref="A132:G133"/>
    <mergeCell ref="A87:G88"/>
    <mergeCell ref="I77:N79"/>
    <mergeCell ref="P49:R49"/>
    <mergeCell ref="A77:G78"/>
    <mergeCell ref="A82:G83"/>
    <mergeCell ref="A51:A52"/>
    <mergeCell ref="I49:J49"/>
    <mergeCell ref="K49:L49"/>
    <mergeCell ref="A49:B49"/>
    <mergeCell ref="C49:D49"/>
    <mergeCell ref="S49:U49"/>
  </mergeCells>
  <hyperlinks>
    <hyperlink ref="A2" location="Home!A1" display="Go to Home" xr:uid="{D89A0C15-556C-4C54-8B6F-9A98ED0BE234}"/>
    <hyperlink ref="K4" location="'Balance sheet'!A1" display="Go to Balance Sheet" xr:uid="{7D1F5063-F9D2-47F8-8FBB-47358226B312}"/>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0B95D-4C3E-4CE2-B40A-83B32B017CC4}">
  <dimension ref="A1:AB73"/>
  <sheetViews>
    <sheetView zoomScale="60" zoomScaleNormal="60" workbookViewId="0">
      <selection activeCell="G3" sqref="G3"/>
    </sheetView>
  </sheetViews>
  <sheetFormatPr defaultRowHeight="14.5" x14ac:dyDescent="0.35"/>
  <cols>
    <col min="1" max="1" width="37.6328125" bestFit="1" customWidth="1"/>
    <col min="2" max="2" width="11.08984375" bestFit="1" customWidth="1"/>
    <col min="3" max="5" width="11.1796875" bestFit="1" customWidth="1"/>
    <col min="6" max="6" width="10.54296875" bestFit="1" customWidth="1"/>
    <col min="7" max="7" width="10.453125" customWidth="1"/>
    <col min="10" max="10" width="10.08984375" bestFit="1" customWidth="1"/>
    <col min="11" max="11" width="11.08984375" bestFit="1" customWidth="1"/>
    <col min="21" max="21" width="8.7265625" customWidth="1"/>
    <col min="23" max="25" width="8.7265625" customWidth="1"/>
    <col min="26" max="26" width="15" bestFit="1" customWidth="1"/>
    <col min="27" max="27" width="10.54296875" bestFit="1" customWidth="1"/>
    <col min="28" max="28" width="11.453125" bestFit="1" customWidth="1"/>
    <col min="29" max="30" width="10.54296875" bestFit="1" customWidth="1"/>
  </cols>
  <sheetData>
    <row r="1" spans="1:25" ht="20" thickBot="1" x14ac:dyDescent="0.5">
      <c r="A1" s="783" t="s">
        <v>16</v>
      </c>
      <c r="B1" s="783"/>
      <c r="C1" s="783"/>
      <c r="D1" s="783"/>
      <c r="E1" s="783"/>
      <c r="F1" s="783"/>
      <c r="G1" s="783"/>
      <c r="H1" s="783"/>
      <c r="I1" s="783"/>
      <c r="J1" s="783"/>
      <c r="K1" s="783"/>
      <c r="L1" s="783"/>
      <c r="M1" s="783"/>
      <c r="N1" s="783"/>
      <c r="O1" s="778"/>
      <c r="P1" s="778"/>
      <c r="Q1" s="778"/>
      <c r="R1" s="778"/>
      <c r="S1" s="778"/>
      <c r="T1" s="778"/>
      <c r="U1" s="778"/>
      <c r="V1" s="778"/>
      <c r="W1" s="778"/>
      <c r="X1" s="778"/>
      <c r="Y1" s="778"/>
    </row>
    <row r="2" spans="1:25" ht="15" thickTop="1" x14ac:dyDescent="0.35">
      <c r="A2" s="253" t="s">
        <v>35</v>
      </c>
      <c r="B2" s="219"/>
      <c r="C2" s="219"/>
      <c r="D2" s="219"/>
      <c r="E2" s="219"/>
      <c r="F2" s="219"/>
      <c r="G2" s="219"/>
      <c r="H2" s="219"/>
      <c r="I2" s="219"/>
      <c r="J2" s="219"/>
      <c r="K2" s="219"/>
      <c r="L2" s="219"/>
      <c r="M2" s="219"/>
      <c r="N2" s="219"/>
    </row>
    <row r="3" spans="1:25" x14ac:dyDescent="0.35">
      <c r="A3" s="220" t="s">
        <v>330</v>
      </c>
      <c r="B3" s="219"/>
      <c r="C3" s="219"/>
      <c r="D3" s="219"/>
      <c r="E3" s="219"/>
      <c r="F3" s="219"/>
      <c r="G3" s="219"/>
      <c r="H3" s="219"/>
      <c r="I3" s="219"/>
      <c r="J3" s="219"/>
      <c r="K3" s="219"/>
      <c r="L3" s="219"/>
      <c r="M3" s="219"/>
      <c r="N3" s="219"/>
    </row>
    <row r="4" spans="1:25" ht="15" thickBot="1" x14ac:dyDescent="0.4">
      <c r="A4" s="255" t="s">
        <v>257</v>
      </c>
      <c r="B4" s="219"/>
      <c r="C4" s="219"/>
      <c r="D4" s="219"/>
      <c r="E4" s="219"/>
      <c r="F4" s="219"/>
      <c r="G4" s="219"/>
      <c r="H4" s="219"/>
      <c r="I4" s="219"/>
      <c r="J4" s="219"/>
      <c r="K4" s="219"/>
      <c r="L4" s="219"/>
      <c r="M4" s="219"/>
      <c r="N4" s="219"/>
    </row>
    <row r="5" spans="1:25" x14ac:dyDescent="0.35">
      <c r="A5" s="830" t="s">
        <v>233</v>
      </c>
      <c r="B5" s="782" t="s">
        <v>33</v>
      </c>
      <c r="C5" s="791"/>
      <c r="D5" s="791"/>
      <c r="E5" s="791"/>
      <c r="F5" s="792"/>
      <c r="G5" s="296"/>
      <c r="H5" s="219"/>
      <c r="I5" s="219"/>
      <c r="J5" s="219"/>
      <c r="K5" s="219"/>
      <c r="L5" s="219"/>
      <c r="M5" s="219"/>
      <c r="N5" s="219"/>
    </row>
    <row r="6" spans="1:25" ht="15" thickBot="1" x14ac:dyDescent="0.4">
      <c r="A6" s="831"/>
      <c r="B6" s="378">
        <v>2014</v>
      </c>
      <c r="C6" s="379">
        <v>2015</v>
      </c>
      <c r="D6" s="379">
        <v>2016</v>
      </c>
      <c r="E6" s="379">
        <v>2017</v>
      </c>
      <c r="F6" s="386">
        <v>2018</v>
      </c>
      <c r="G6" s="296"/>
      <c r="H6" s="254" t="s">
        <v>282</v>
      </c>
      <c r="I6" s="219"/>
      <c r="J6" s="219"/>
      <c r="K6" s="219"/>
      <c r="L6" s="219"/>
      <c r="M6" s="219"/>
      <c r="N6" s="219"/>
    </row>
    <row r="7" spans="1:25" x14ac:dyDescent="0.35">
      <c r="A7" s="297" t="s">
        <v>226</v>
      </c>
      <c r="B7" s="502">
        <v>9178.7109999999993</v>
      </c>
      <c r="C7" s="503">
        <v>9063.8750999999993</v>
      </c>
      <c r="D7" s="503">
        <v>8632.3242000000009</v>
      </c>
      <c r="E7" s="503">
        <v>8198.5535999999993</v>
      </c>
      <c r="F7" s="503">
        <v>7665.8</v>
      </c>
      <c r="G7" s="219"/>
      <c r="H7" s="219"/>
      <c r="I7" s="219"/>
      <c r="J7" s="219"/>
      <c r="K7" s="219"/>
      <c r="L7" s="219"/>
      <c r="M7" s="219"/>
      <c r="N7" s="219"/>
    </row>
    <row r="8" spans="1:25" x14ac:dyDescent="0.35">
      <c r="A8" s="298" t="s">
        <v>227</v>
      </c>
      <c r="B8" s="440">
        <v>9065.7145</v>
      </c>
      <c r="C8" s="441">
        <v>8064.1790999999994</v>
      </c>
      <c r="D8" s="441">
        <v>7555.6764000000003</v>
      </c>
      <c r="E8" s="441">
        <v>7516.4672</v>
      </c>
      <c r="F8" s="441">
        <v>7600.1</v>
      </c>
      <c r="G8" s="219"/>
      <c r="H8" s="219"/>
      <c r="I8" s="219"/>
      <c r="J8" s="219"/>
      <c r="K8" s="219"/>
      <c r="L8" s="219"/>
      <c r="M8" s="219"/>
      <c r="N8" s="219"/>
    </row>
    <row r="9" spans="1:25" x14ac:dyDescent="0.35">
      <c r="A9" s="300" t="s">
        <v>228</v>
      </c>
      <c r="B9" s="504">
        <v>7262.7571999999991</v>
      </c>
      <c r="C9" s="505">
        <v>6536.9951999999994</v>
      </c>
      <c r="D9" s="505">
        <v>6444.0922</v>
      </c>
      <c r="E9" s="505">
        <v>5665.9967999999999</v>
      </c>
      <c r="F9" s="505">
        <v>3988.7</v>
      </c>
      <c r="G9" s="219"/>
      <c r="H9" s="219"/>
      <c r="I9" s="219"/>
      <c r="J9" s="254"/>
      <c r="K9" s="219"/>
      <c r="L9" s="219"/>
      <c r="M9" s="219"/>
      <c r="N9" s="219"/>
    </row>
    <row r="10" spans="1:25" x14ac:dyDescent="0.35">
      <c r="A10" s="303" t="s">
        <v>229</v>
      </c>
      <c r="B10" s="506">
        <v>3608.0365999999999</v>
      </c>
      <c r="C10" s="392">
        <v>3247.3175999999999</v>
      </c>
      <c r="D10" s="392">
        <v>3122.4146000000001</v>
      </c>
      <c r="E10" s="392">
        <v>1987.0720000000001</v>
      </c>
      <c r="F10" s="392">
        <v>1770.6</v>
      </c>
      <c r="G10" s="219"/>
      <c r="H10" s="219"/>
      <c r="I10" s="219"/>
      <c r="J10" s="219"/>
      <c r="K10" s="219"/>
      <c r="L10" s="219"/>
      <c r="M10" s="219"/>
      <c r="N10" s="219"/>
    </row>
    <row r="11" spans="1:25" x14ac:dyDescent="0.35">
      <c r="A11" s="264" t="s">
        <v>34</v>
      </c>
      <c r="B11" s="507">
        <v>29115.219299999997</v>
      </c>
      <c r="C11" s="465">
        <v>26912.366999999998</v>
      </c>
      <c r="D11" s="465">
        <v>25754.507399999999</v>
      </c>
      <c r="E11" s="465">
        <v>23368.089600000003</v>
      </c>
      <c r="F11" s="465">
        <f>SUM(F7:F10)</f>
        <v>21025.200000000001</v>
      </c>
      <c r="G11" s="254"/>
      <c r="H11" s="219"/>
      <c r="I11" s="219"/>
      <c r="J11" s="219"/>
      <c r="K11" s="219"/>
      <c r="L11" s="219"/>
      <c r="M11" s="219"/>
      <c r="N11" s="219"/>
    </row>
    <row r="12" spans="1:25" x14ac:dyDescent="0.35">
      <c r="A12" s="304" t="s">
        <v>234</v>
      </c>
      <c r="B12" s="305" t="s">
        <v>51</v>
      </c>
      <c r="C12" s="563">
        <f t="shared" ref="C12:E12" si="0">(C11-B11)/B11</f>
        <v>-7.5659821665846047E-2</v>
      </c>
      <c r="D12" s="563">
        <f t="shared" si="0"/>
        <v>-4.3023328271348256E-2</v>
      </c>
      <c r="E12" s="563">
        <f t="shared" si="0"/>
        <v>-9.2660199744297803E-2</v>
      </c>
      <c r="F12" s="563">
        <f>(F11-E11)/E11</f>
        <v>-0.10026021125834787</v>
      </c>
      <c r="G12" s="296"/>
      <c r="H12" s="219"/>
      <c r="I12" s="219"/>
      <c r="J12" s="219"/>
      <c r="K12" s="219"/>
      <c r="L12" s="219"/>
      <c r="M12" s="219"/>
      <c r="N12" s="219"/>
    </row>
    <row r="13" spans="1:25" x14ac:dyDescent="0.35">
      <c r="A13" s="306" t="s">
        <v>226</v>
      </c>
      <c r="B13" s="508">
        <v>3737.3724999999999</v>
      </c>
      <c r="C13" s="509">
        <v>3825.1079999999997</v>
      </c>
      <c r="D13" s="509">
        <v>3942.0601999999999</v>
      </c>
      <c r="E13" s="509">
        <v>4118.9376000000002</v>
      </c>
      <c r="F13" s="509">
        <v>4015.6</v>
      </c>
      <c r="G13" s="219"/>
      <c r="H13" s="219"/>
      <c r="I13" s="219"/>
      <c r="J13" s="219"/>
      <c r="K13" s="219"/>
      <c r="L13" s="219"/>
      <c r="M13" s="219"/>
      <c r="N13" s="219"/>
    </row>
    <row r="14" spans="1:25" x14ac:dyDescent="0.35">
      <c r="A14" s="298" t="s">
        <v>227</v>
      </c>
      <c r="B14" s="440">
        <v>3219.6044999999999</v>
      </c>
      <c r="C14" s="441">
        <v>2872.6433999999999</v>
      </c>
      <c r="D14" s="441">
        <v>2968.9664000000002</v>
      </c>
      <c r="E14" s="441">
        <v>3242.4960000000001</v>
      </c>
      <c r="F14" s="441">
        <v>3485.7</v>
      </c>
      <c r="G14" s="219"/>
      <c r="H14" s="219"/>
      <c r="I14" s="219"/>
      <c r="J14" s="219"/>
      <c r="K14" s="219"/>
      <c r="L14" s="219"/>
      <c r="M14" s="219"/>
      <c r="N14" s="219"/>
    </row>
    <row r="15" spans="1:25" x14ac:dyDescent="0.35">
      <c r="A15" s="300" t="s">
        <v>228</v>
      </c>
      <c r="B15" s="504">
        <v>990.86789999999996</v>
      </c>
      <c r="C15" s="505">
        <v>890.72489999999993</v>
      </c>
      <c r="D15" s="505">
        <v>1097.0447999999999</v>
      </c>
      <c r="E15" s="505">
        <v>2049.4336000000003</v>
      </c>
      <c r="F15" s="505">
        <v>1001.2</v>
      </c>
      <c r="G15" s="219"/>
      <c r="H15" s="219"/>
      <c r="I15" s="219"/>
      <c r="J15" s="254"/>
      <c r="K15" s="219"/>
      <c r="L15" s="219"/>
      <c r="M15" s="219"/>
      <c r="N15" s="219"/>
    </row>
    <row r="16" spans="1:25" x14ac:dyDescent="0.35">
      <c r="A16" s="303" t="s">
        <v>229</v>
      </c>
      <c r="B16" s="506">
        <v>486.25630000000001</v>
      </c>
      <c r="C16" s="392">
        <v>-21.391799999999996</v>
      </c>
      <c r="D16" s="392">
        <v>92.675600000000003</v>
      </c>
      <c r="E16" s="392">
        <v>371.0976</v>
      </c>
      <c r="F16" s="392">
        <v>320.10000000000002</v>
      </c>
      <c r="G16" s="219"/>
      <c r="H16" s="219"/>
      <c r="I16" s="219"/>
      <c r="J16" s="219"/>
      <c r="K16" s="219"/>
      <c r="L16" s="219"/>
      <c r="M16" s="219"/>
      <c r="N16" s="219"/>
    </row>
    <row r="17" spans="1:28" x14ac:dyDescent="0.35">
      <c r="A17" s="264" t="s">
        <v>230</v>
      </c>
      <c r="B17" s="507">
        <v>8434.1011999999992</v>
      </c>
      <c r="C17" s="465">
        <v>7567.0845000000008</v>
      </c>
      <c r="D17" s="465">
        <v>8100.7470000000012</v>
      </c>
      <c r="E17" s="465">
        <v>9781.9647999999997</v>
      </c>
      <c r="F17" s="465">
        <f t="shared" ref="F17" si="1">SUM(F13:F16)</f>
        <v>8822.6</v>
      </c>
      <c r="G17" s="254"/>
      <c r="H17" s="219"/>
      <c r="I17" s="219"/>
      <c r="J17" s="219"/>
      <c r="K17" s="219"/>
      <c r="L17" s="219"/>
      <c r="M17" s="219"/>
      <c r="N17" s="219"/>
    </row>
    <row r="18" spans="1:28" x14ac:dyDescent="0.35">
      <c r="A18" s="304" t="s">
        <v>235</v>
      </c>
      <c r="B18" s="308" t="s">
        <v>51</v>
      </c>
      <c r="C18" s="563">
        <f t="shared" ref="C18:E18" si="2">(C17-B17)/B17</f>
        <v>-0.10279894436172979</v>
      </c>
      <c r="D18" s="564">
        <f t="shared" si="2"/>
        <v>7.0524189336064677E-2</v>
      </c>
      <c r="E18" s="564">
        <f t="shared" si="2"/>
        <v>0.20753861341429355</v>
      </c>
      <c r="F18" s="563">
        <f>(F17-E17)/E17</f>
        <v>-9.8074857108461422E-2</v>
      </c>
      <c r="G18" s="296"/>
      <c r="H18" s="219"/>
      <c r="I18" s="219"/>
      <c r="J18" s="219"/>
      <c r="K18" s="219"/>
      <c r="L18" s="219"/>
      <c r="M18" s="219"/>
      <c r="N18" s="219"/>
    </row>
    <row r="19" spans="1:28" x14ac:dyDescent="0.35">
      <c r="A19" s="306" t="s">
        <v>226</v>
      </c>
      <c r="B19" s="508">
        <v>12596.2981</v>
      </c>
      <c r="C19" s="509">
        <v>12502.659900000001</v>
      </c>
      <c r="D19" s="509">
        <v>12510.787600000001</v>
      </c>
      <c r="E19" s="509">
        <v>12952.1664</v>
      </c>
      <c r="F19" s="509">
        <v>14483.8</v>
      </c>
      <c r="G19" s="219"/>
      <c r="H19" s="219"/>
      <c r="I19" s="219"/>
      <c r="J19" s="219"/>
      <c r="K19" s="219"/>
      <c r="L19" s="219"/>
      <c r="M19" s="219"/>
      <c r="N19" s="219"/>
    </row>
    <row r="20" spans="1:28" x14ac:dyDescent="0.35">
      <c r="A20" s="298" t="s">
        <v>227</v>
      </c>
      <c r="B20" s="440">
        <v>13303.242399999999</v>
      </c>
      <c r="C20" s="441">
        <v>11793.341699999999</v>
      </c>
      <c r="D20" s="441">
        <v>9531.6750000000011</v>
      </c>
      <c r="E20" s="441">
        <v>12128.563199999999</v>
      </c>
      <c r="F20" s="441">
        <v>12713</v>
      </c>
      <c r="G20" s="219"/>
      <c r="H20" s="219"/>
      <c r="I20" s="219"/>
      <c r="J20" s="219"/>
      <c r="K20" s="219"/>
      <c r="L20" s="219"/>
      <c r="M20" s="219"/>
      <c r="N20" s="219"/>
    </row>
    <row r="21" spans="1:28" x14ac:dyDescent="0.35">
      <c r="A21" s="300" t="s">
        <v>228</v>
      </c>
      <c r="B21" s="504">
        <v>6223.826</v>
      </c>
      <c r="C21" s="505">
        <v>5558.2673999999997</v>
      </c>
      <c r="D21" s="505">
        <v>5448.1956000000009</v>
      </c>
      <c r="E21" s="505">
        <v>4588.2367999999997</v>
      </c>
      <c r="F21" s="505">
        <v>4404.8999999999996</v>
      </c>
      <c r="G21" s="219"/>
      <c r="H21" s="219"/>
      <c r="I21" s="219"/>
      <c r="J21" s="254"/>
      <c r="K21" s="219"/>
      <c r="L21" s="219"/>
      <c r="M21" s="219"/>
      <c r="N21" s="219"/>
    </row>
    <row r="22" spans="1:28" x14ac:dyDescent="0.35">
      <c r="A22" s="303" t="s">
        <v>229</v>
      </c>
      <c r="B22" s="506">
        <v>4191.9048999999995</v>
      </c>
      <c r="C22" s="392">
        <v>10322.8143</v>
      </c>
      <c r="D22" s="392">
        <v>4960.3411999999998</v>
      </c>
      <c r="E22" s="392">
        <v>4946.0224000000007</v>
      </c>
      <c r="F22" s="392">
        <v>1209.5</v>
      </c>
      <c r="G22" s="219"/>
      <c r="H22" s="219"/>
      <c r="I22" s="219"/>
      <c r="J22" s="219"/>
      <c r="K22" s="219"/>
      <c r="L22" s="219"/>
      <c r="M22" s="219"/>
      <c r="N22" s="219"/>
    </row>
    <row r="23" spans="1:28" x14ac:dyDescent="0.35">
      <c r="A23" s="264" t="s">
        <v>74</v>
      </c>
      <c r="B23" s="507">
        <v>36315.271399999998</v>
      </c>
      <c r="C23" s="465">
        <v>40177.083299999991</v>
      </c>
      <c r="D23" s="465">
        <v>32450.999400000001</v>
      </c>
      <c r="E23" s="465">
        <v>34614.988800000006</v>
      </c>
      <c r="F23" s="465">
        <f t="shared" ref="F23" si="3">SUM(F19:F22)</f>
        <v>32811.199999999997</v>
      </c>
      <c r="G23" s="254"/>
      <c r="H23" s="219"/>
      <c r="I23" s="219"/>
      <c r="J23" s="219"/>
      <c r="K23" s="219"/>
      <c r="L23" s="219"/>
      <c r="M23" s="219"/>
      <c r="N23" s="219"/>
    </row>
    <row r="24" spans="1:28" x14ac:dyDescent="0.35">
      <c r="A24" s="304" t="s">
        <v>236</v>
      </c>
      <c r="B24" s="308" t="s">
        <v>51</v>
      </c>
      <c r="C24" s="564">
        <f t="shared" ref="C24:E24" si="4">(C23-B23)/B23</f>
        <v>0.10634126501392452</v>
      </c>
      <c r="D24" s="563">
        <f t="shared" si="4"/>
        <v>-0.19230076614346947</v>
      </c>
      <c r="E24" s="564">
        <f t="shared" si="4"/>
        <v>6.6684830668112052E-2</v>
      </c>
      <c r="F24" s="563">
        <f>(F23-E23)/E23</f>
        <v>-5.211005008327517E-2</v>
      </c>
      <c r="G24" s="296"/>
      <c r="H24" s="219"/>
      <c r="I24" s="219"/>
      <c r="J24" s="219"/>
      <c r="K24" s="219"/>
      <c r="L24" s="219"/>
      <c r="M24" s="219"/>
      <c r="N24" s="219"/>
    </row>
    <row r="25" spans="1:28" x14ac:dyDescent="0.35">
      <c r="A25" s="306" t="s">
        <v>226</v>
      </c>
      <c r="B25" s="307">
        <v>781.00209999999993</v>
      </c>
      <c r="C25" s="217">
        <v>564.65880000000004</v>
      </c>
      <c r="D25" s="217">
        <v>613.68820000000005</v>
      </c>
      <c r="E25" s="217">
        <v>881.86880000000008</v>
      </c>
      <c r="F25" s="217">
        <v>1849.8</v>
      </c>
      <c r="G25" s="219"/>
      <c r="H25" s="219"/>
      <c r="I25" s="219"/>
      <c r="J25" s="219"/>
      <c r="K25" s="219"/>
      <c r="L25" s="219"/>
      <c r="M25" s="219"/>
      <c r="N25" s="219"/>
    </row>
    <row r="26" spans="1:28" x14ac:dyDescent="0.35">
      <c r="A26" s="298" t="s">
        <v>227</v>
      </c>
      <c r="B26" s="299">
        <v>840.41809999999998</v>
      </c>
      <c r="C26" s="259">
        <v>631.26990000000001</v>
      </c>
      <c r="D26" s="259">
        <v>664.83760000000007</v>
      </c>
      <c r="E26" s="259">
        <v>527.66719999999998</v>
      </c>
      <c r="F26" s="259">
        <v>436.4</v>
      </c>
      <c r="G26" s="219"/>
      <c r="H26" s="219"/>
      <c r="I26" s="219"/>
      <c r="J26" s="219"/>
      <c r="K26" s="219"/>
      <c r="L26" s="219"/>
      <c r="M26" s="219"/>
      <c r="N26" s="219"/>
    </row>
    <row r="27" spans="1:28" x14ac:dyDescent="0.35">
      <c r="A27" s="300" t="s">
        <v>228</v>
      </c>
      <c r="B27" s="301">
        <v>853.89279999999985</v>
      </c>
      <c r="C27" s="302">
        <v>572.3895</v>
      </c>
      <c r="D27" s="302">
        <v>515.88720000000001</v>
      </c>
      <c r="E27" s="302">
        <v>387.584</v>
      </c>
      <c r="F27" s="302">
        <v>285.60000000000002</v>
      </c>
      <c r="G27" s="219"/>
      <c r="H27" s="219"/>
      <c r="I27" s="219"/>
      <c r="J27" s="254"/>
      <c r="K27" s="219"/>
      <c r="L27" s="219"/>
      <c r="M27" s="219"/>
      <c r="N27" s="219"/>
    </row>
    <row r="28" spans="1:28" x14ac:dyDescent="0.35">
      <c r="A28" s="98" t="s">
        <v>229</v>
      </c>
      <c r="B28" s="445">
        <v>275.22339999999997</v>
      </c>
      <c r="C28" s="446">
        <v>152.60189999999997</v>
      </c>
      <c r="D28" s="446">
        <v>110.4576</v>
      </c>
      <c r="E28" s="446">
        <v>101.06880000000001</v>
      </c>
      <c r="F28" s="446">
        <v>169.9</v>
      </c>
      <c r="G28" s="34"/>
      <c r="K28" s="26"/>
    </row>
    <row r="29" spans="1:28" x14ac:dyDescent="0.35">
      <c r="A29" s="96" t="s">
        <v>231</v>
      </c>
      <c r="B29" s="507">
        <v>2750.5364</v>
      </c>
      <c r="C29" s="465">
        <v>1920.9201</v>
      </c>
      <c r="D29" s="465">
        <v>1904.8706000000002</v>
      </c>
      <c r="E29" s="465">
        <v>1898.1888000000001</v>
      </c>
      <c r="F29" s="465">
        <f t="shared" ref="F29" si="5">SUM(F25:F28)</f>
        <v>2741.7</v>
      </c>
      <c r="G29" s="35"/>
      <c r="J29" s="34"/>
      <c r="K29" s="26"/>
    </row>
    <row r="30" spans="1:28" x14ac:dyDescent="0.35">
      <c r="A30" s="97" t="s">
        <v>237</v>
      </c>
      <c r="B30" s="510" t="s">
        <v>51</v>
      </c>
      <c r="C30" s="563">
        <f t="shared" ref="C30:D30" si="6">(C29-B29)/B29</f>
        <v>-0.30161982222812972</v>
      </c>
      <c r="D30" s="563">
        <f t="shared" si="6"/>
        <v>-8.3551106576477876E-3</v>
      </c>
      <c r="E30" s="563">
        <f>(E29-D29)/D29</f>
        <v>-3.5077448305412796E-3</v>
      </c>
      <c r="F30" s="564">
        <f>(F29-E29)/E29</f>
        <v>0.44437687125748482</v>
      </c>
      <c r="G30" s="1"/>
      <c r="J30" s="34"/>
      <c r="K30" s="26"/>
    </row>
    <row r="31" spans="1:28" x14ac:dyDescent="0.35">
      <c r="A31" s="92" t="s">
        <v>226</v>
      </c>
      <c r="B31" s="508">
        <v>543.44420000000002</v>
      </c>
      <c r="C31" s="509">
        <v>545.59680000000003</v>
      </c>
      <c r="D31" s="509">
        <v>533.77380000000005</v>
      </c>
      <c r="E31" s="509">
        <v>536.67840000000001</v>
      </c>
      <c r="F31" s="509">
        <v>598.4</v>
      </c>
      <c r="G31" s="34"/>
      <c r="J31" s="34"/>
      <c r="K31" s="26"/>
    </row>
    <row r="32" spans="1:28" x14ac:dyDescent="0.35">
      <c r="A32" s="93" t="s">
        <v>227</v>
      </c>
      <c r="B32" s="440">
        <v>552.9932</v>
      </c>
      <c r="C32" s="441">
        <v>488.09309999999994</v>
      </c>
      <c r="D32" s="441">
        <v>472.37360000000007</v>
      </c>
      <c r="E32" s="441">
        <v>472.16640000000001</v>
      </c>
      <c r="F32" s="441">
        <v>472.9</v>
      </c>
      <c r="G32" s="34"/>
      <c r="J32" s="34"/>
      <c r="K32" s="26"/>
      <c r="AA32" s="34"/>
      <c r="AB32" s="34"/>
    </row>
    <row r="33" spans="1:28" x14ac:dyDescent="0.35">
      <c r="A33" s="94" t="s">
        <v>228</v>
      </c>
      <c r="B33" s="504">
        <v>411.45580000000001</v>
      </c>
      <c r="C33" s="505">
        <v>385.37009999999998</v>
      </c>
      <c r="D33" s="505">
        <v>378.65199999999999</v>
      </c>
      <c r="E33" s="505">
        <v>237.26079999999999</v>
      </c>
      <c r="F33" s="505">
        <v>233</v>
      </c>
      <c r="G33" s="34"/>
      <c r="J33" s="35"/>
      <c r="K33" s="26"/>
      <c r="AA33" s="34"/>
      <c r="AB33" s="34"/>
    </row>
    <row r="34" spans="1:28" x14ac:dyDescent="0.35">
      <c r="A34" s="95" t="s">
        <v>229</v>
      </c>
      <c r="B34" s="506">
        <v>236.9213</v>
      </c>
      <c r="C34" s="392">
        <v>228.42629999999997</v>
      </c>
      <c r="D34" s="392">
        <v>201.45959999999999</v>
      </c>
      <c r="E34" s="392">
        <v>150.01599999999999</v>
      </c>
      <c r="F34" s="392">
        <v>177.7</v>
      </c>
      <c r="G34" s="34"/>
      <c r="AA34" s="34"/>
      <c r="AB34" s="34"/>
    </row>
    <row r="35" spans="1:28" x14ac:dyDescent="0.35">
      <c r="A35" s="96" t="s">
        <v>232</v>
      </c>
      <c r="B35" s="507">
        <v>1744.8145</v>
      </c>
      <c r="C35" s="465">
        <v>1647.4863</v>
      </c>
      <c r="D35" s="465">
        <v>1586.259</v>
      </c>
      <c r="E35" s="465">
        <v>1396.1216000000002</v>
      </c>
      <c r="F35" s="465">
        <f t="shared" ref="F35" si="7">SUM(F31:F34)</f>
        <v>1482</v>
      </c>
      <c r="G35" s="35"/>
      <c r="AA35" s="34"/>
      <c r="AB35" s="34"/>
    </row>
    <row r="36" spans="1:28" ht="15" thickBot="1" x14ac:dyDescent="0.4">
      <c r="A36" s="99" t="s">
        <v>238</v>
      </c>
      <c r="B36" s="91" t="s">
        <v>51</v>
      </c>
      <c r="C36" s="565">
        <f t="shared" ref="C36:E36" si="8">(C35-B35)/B35</f>
        <v>-5.5781402550242408E-2</v>
      </c>
      <c r="D36" s="565">
        <f t="shared" si="8"/>
        <v>-3.7164072320358607E-2</v>
      </c>
      <c r="E36" s="565">
        <f t="shared" si="8"/>
        <v>-0.11986529312048022</v>
      </c>
      <c r="F36" s="566">
        <f>(F35-E35)/E35</f>
        <v>6.1512120434208464E-2</v>
      </c>
      <c r="G36" s="641">
        <v>1</v>
      </c>
      <c r="AA36" s="35"/>
      <c r="AB36" s="34"/>
    </row>
    <row r="37" spans="1:28" x14ac:dyDescent="0.35">
      <c r="G37" s="641">
        <v>1.024</v>
      </c>
      <c r="AA37" s="1"/>
      <c r="AB37" s="34"/>
    </row>
    <row r="38" spans="1:28" x14ac:dyDescent="0.35">
      <c r="G38" s="641">
        <v>1.046</v>
      </c>
      <c r="AA38" s="34"/>
      <c r="AB38" s="34"/>
    </row>
    <row r="39" spans="1:28" ht="15" thickBot="1" x14ac:dyDescent="0.4">
      <c r="A39" s="27" t="s">
        <v>256</v>
      </c>
      <c r="G39" s="641">
        <v>1.0589999999999999</v>
      </c>
      <c r="AA39" s="34"/>
      <c r="AB39" s="34"/>
    </row>
    <row r="40" spans="1:28" x14ac:dyDescent="0.35">
      <c r="A40" s="832" t="s">
        <v>233</v>
      </c>
      <c r="B40" s="784" t="s">
        <v>33</v>
      </c>
      <c r="C40" s="785"/>
      <c r="D40" s="785"/>
      <c r="E40" s="785"/>
      <c r="F40" s="793"/>
      <c r="G40" s="641">
        <v>1.0609999999999999</v>
      </c>
      <c r="AA40" s="34"/>
      <c r="AB40" s="34"/>
    </row>
    <row r="41" spans="1:28" ht="15" thickBot="1" x14ac:dyDescent="0.4">
      <c r="A41" s="833"/>
      <c r="B41" s="100">
        <v>2014</v>
      </c>
      <c r="C41" s="101">
        <v>2015</v>
      </c>
      <c r="D41" s="101">
        <v>2016</v>
      </c>
      <c r="E41" s="101">
        <v>2017</v>
      </c>
      <c r="F41" s="102">
        <v>2018</v>
      </c>
      <c r="AA41" s="34"/>
      <c r="AB41" s="34"/>
    </row>
    <row r="42" spans="1:28" x14ac:dyDescent="0.35">
      <c r="A42" s="104" t="s">
        <v>226</v>
      </c>
      <c r="B42" s="511">
        <v>8651</v>
      </c>
      <c r="C42" s="512">
        <v>8558.9</v>
      </c>
      <c r="D42" s="512">
        <v>8252.7000000000007</v>
      </c>
      <c r="E42" s="512">
        <v>8006.4</v>
      </c>
      <c r="F42" s="512">
        <v>7665.8</v>
      </c>
      <c r="AA42" s="35"/>
      <c r="AB42" s="34"/>
    </row>
    <row r="43" spans="1:28" x14ac:dyDescent="0.35">
      <c r="A43" s="103" t="s">
        <v>227</v>
      </c>
      <c r="B43" s="382">
        <v>8544.5</v>
      </c>
      <c r="C43" s="383">
        <v>7614.9</v>
      </c>
      <c r="D43" s="383">
        <v>7223.4</v>
      </c>
      <c r="E43" s="383">
        <v>7340.3</v>
      </c>
      <c r="F43" s="383">
        <v>7600.1</v>
      </c>
      <c r="AA43" s="1"/>
      <c r="AB43" s="34"/>
    </row>
    <row r="44" spans="1:28" x14ac:dyDescent="0.35">
      <c r="A44" s="103" t="s">
        <v>228</v>
      </c>
      <c r="B44" s="382">
        <v>6845.2</v>
      </c>
      <c r="C44" s="383">
        <v>6172.8</v>
      </c>
      <c r="D44" s="383">
        <v>6160.7</v>
      </c>
      <c r="E44" s="383">
        <v>5533.2</v>
      </c>
      <c r="F44" s="383">
        <v>3988.7</v>
      </c>
      <c r="AA44" s="34"/>
      <c r="AB44" s="34"/>
    </row>
    <row r="45" spans="1:28" x14ac:dyDescent="0.35">
      <c r="A45" s="103" t="s">
        <v>229</v>
      </c>
      <c r="B45" s="382">
        <v>3400.6</v>
      </c>
      <c r="C45" s="383">
        <v>3066.4</v>
      </c>
      <c r="D45" s="383">
        <v>2985.1</v>
      </c>
      <c r="E45" s="383">
        <v>1940.5</v>
      </c>
      <c r="F45" s="383">
        <v>1770.6</v>
      </c>
      <c r="AA45" s="34"/>
      <c r="AB45" s="34"/>
    </row>
    <row r="46" spans="1:28" x14ac:dyDescent="0.35">
      <c r="A46" s="96" t="s">
        <v>34</v>
      </c>
      <c r="B46" s="507">
        <f>SUM(B42:B45)</f>
        <v>27441.3</v>
      </c>
      <c r="C46" s="465">
        <f t="shared" ref="C46:D46" si="9">SUM(C42:C45)</f>
        <v>25413</v>
      </c>
      <c r="D46" s="465">
        <f t="shared" si="9"/>
        <v>24621.899999999998</v>
      </c>
      <c r="E46" s="465">
        <f t="shared" ref="E46" si="10">SUM(E42:E45)</f>
        <v>22820.400000000001</v>
      </c>
      <c r="F46" s="465">
        <f>SUM(F42:F45)</f>
        <v>21025.200000000001</v>
      </c>
      <c r="AA46" s="34"/>
      <c r="AB46" s="34"/>
    </row>
    <row r="47" spans="1:28" x14ac:dyDescent="0.35">
      <c r="A47" s="97" t="s">
        <v>234</v>
      </c>
      <c r="B47" s="510" t="s">
        <v>51</v>
      </c>
      <c r="C47" s="567">
        <f t="shared" ref="C47:E47" si="11">(C46-B46)/B46</f>
        <v>-7.391413672092792E-2</v>
      </c>
      <c r="D47" s="567">
        <f t="shared" si="11"/>
        <v>-3.1129736748908125E-2</v>
      </c>
      <c r="E47" s="567">
        <f t="shared" si="11"/>
        <v>-7.3166571223179225E-2</v>
      </c>
      <c r="F47" s="567">
        <f>(F46-E46)/E46</f>
        <v>-7.866645632854817E-2</v>
      </c>
      <c r="AA47" s="34"/>
      <c r="AB47" s="34"/>
    </row>
    <row r="48" spans="1:28" x14ac:dyDescent="0.35">
      <c r="A48" s="103" t="s">
        <v>226</v>
      </c>
      <c r="B48" s="382">
        <v>3522.5</v>
      </c>
      <c r="C48" s="383">
        <v>3612</v>
      </c>
      <c r="D48" s="383">
        <v>3768.7</v>
      </c>
      <c r="E48" s="383">
        <v>4022.4</v>
      </c>
      <c r="F48" s="383">
        <v>4015.6</v>
      </c>
      <c r="AA48" s="35"/>
      <c r="AB48" s="34"/>
    </row>
    <row r="49" spans="1:28" x14ac:dyDescent="0.35">
      <c r="A49" s="103" t="s">
        <v>227</v>
      </c>
      <c r="B49" s="382">
        <v>3034.5</v>
      </c>
      <c r="C49" s="383">
        <v>2712.6</v>
      </c>
      <c r="D49" s="383">
        <v>2838.4</v>
      </c>
      <c r="E49" s="383">
        <v>3166.5</v>
      </c>
      <c r="F49" s="383">
        <v>3485.7</v>
      </c>
      <c r="AA49" s="1"/>
      <c r="AB49" s="34"/>
    </row>
    <row r="50" spans="1:28" x14ac:dyDescent="0.35">
      <c r="A50" s="103" t="s">
        <v>228</v>
      </c>
      <c r="B50" s="382">
        <v>933.9</v>
      </c>
      <c r="C50" s="383">
        <v>841.1</v>
      </c>
      <c r="D50" s="383">
        <v>1048.8</v>
      </c>
      <c r="E50" s="383">
        <v>2001.4</v>
      </c>
      <c r="F50" s="383">
        <v>1001.2</v>
      </c>
      <c r="AA50" s="34"/>
      <c r="AB50" s="34"/>
    </row>
    <row r="51" spans="1:28" x14ac:dyDescent="0.35">
      <c r="A51" s="103" t="s">
        <v>229</v>
      </c>
      <c r="B51" s="382">
        <v>458.3</v>
      </c>
      <c r="C51" s="383">
        <v>-20.2</v>
      </c>
      <c r="D51" s="383">
        <v>88.6</v>
      </c>
      <c r="E51" s="383">
        <v>362.4</v>
      </c>
      <c r="F51" s="383">
        <v>320.10000000000002</v>
      </c>
      <c r="AA51" s="34"/>
      <c r="AB51" s="34"/>
    </row>
    <row r="52" spans="1:28" x14ac:dyDescent="0.35">
      <c r="A52" s="96" t="s">
        <v>230</v>
      </c>
      <c r="B52" s="507">
        <f>SUM(B48:B51)</f>
        <v>7949.2</v>
      </c>
      <c r="C52" s="465">
        <f t="shared" ref="C52:F52" si="12">SUM(C48:C51)</f>
        <v>7145.5000000000009</v>
      </c>
      <c r="D52" s="465">
        <f t="shared" si="12"/>
        <v>7744.5000000000009</v>
      </c>
      <c r="E52" s="465">
        <f t="shared" si="12"/>
        <v>9552.6999999999989</v>
      </c>
      <c r="F52" s="465">
        <f t="shared" si="12"/>
        <v>8822.6</v>
      </c>
      <c r="AA52" s="34"/>
      <c r="AB52" s="34"/>
    </row>
    <row r="53" spans="1:28" x14ac:dyDescent="0.35">
      <c r="A53" s="97" t="s">
        <v>235</v>
      </c>
      <c r="B53" s="510" t="s">
        <v>51</v>
      </c>
      <c r="C53" s="567">
        <f t="shared" ref="C53:E53" si="13">(C52-B52)/B52</f>
        <v>-0.10110451366175199</v>
      </c>
      <c r="D53" s="567">
        <f t="shared" si="13"/>
        <v>8.3828983276187805E-2</v>
      </c>
      <c r="E53" s="567">
        <f t="shared" si="13"/>
        <v>0.23348182581186619</v>
      </c>
      <c r="F53" s="567">
        <f>(F52-E52)/E52</f>
        <v>-7.6428653679064415E-2</v>
      </c>
      <c r="AA53" s="34"/>
      <c r="AB53" s="34"/>
    </row>
    <row r="54" spans="1:28" x14ac:dyDescent="0.35">
      <c r="A54" s="103" t="s">
        <v>226</v>
      </c>
      <c r="B54" s="382">
        <v>11872.1</v>
      </c>
      <c r="C54" s="383">
        <v>11806.1</v>
      </c>
      <c r="D54" s="383">
        <v>11960.6</v>
      </c>
      <c r="E54" s="383">
        <v>12648.6</v>
      </c>
      <c r="F54" s="383">
        <v>14483.8</v>
      </c>
      <c r="G54" s="74"/>
      <c r="AA54" s="35"/>
      <c r="AB54" s="34"/>
    </row>
    <row r="55" spans="1:28" x14ac:dyDescent="0.35">
      <c r="A55" s="103" t="s">
        <v>227</v>
      </c>
      <c r="B55" s="382">
        <v>12538.4</v>
      </c>
      <c r="C55" s="383">
        <v>11136.3</v>
      </c>
      <c r="D55" s="383">
        <v>9112.5</v>
      </c>
      <c r="E55" s="383">
        <v>11844.3</v>
      </c>
      <c r="F55" s="383">
        <v>12713</v>
      </c>
      <c r="G55" s="74"/>
      <c r="AA55" s="1"/>
      <c r="AB55" s="34"/>
    </row>
    <row r="56" spans="1:28" x14ac:dyDescent="0.35">
      <c r="A56" s="103" t="s">
        <v>228</v>
      </c>
      <c r="B56" s="382">
        <v>5866</v>
      </c>
      <c r="C56" s="383">
        <v>5248.6</v>
      </c>
      <c r="D56" s="383">
        <v>5208.6000000000004</v>
      </c>
      <c r="E56" s="383">
        <v>4480.7</v>
      </c>
      <c r="F56" s="383">
        <v>4404.8999999999996</v>
      </c>
      <c r="G56" s="74"/>
      <c r="AA56" s="34"/>
      <c r="AB56" s="34"/>
    </row>
    <row r="57" spans="1:28" x14ac:dyDescent="0.35">
      <c r="A57" s="103" t="s">
        <v>229</v>
      </c>
      <c r="B57" s="382">
        <v>3950.9</v>
      </c>
      <c r="C57" s="383">
        <v>9747.7000000000007</v>
      </c>
      <c r="D57" s="383">
        <v>4742.2</v>
      </c>
      <c r="E57" s="383">
        <v>4830.1000000000004</v>
      </c>
      <c r="F57" s="383">
        <v>1209.5</v>
      </c>
      <c r="G57" s="74"/>
      <c r="AA57" s="34"/>
      <c r="AB57" s="34"/>
    </row>
    <row r="58" spans="1:28" x14ac:dyDescent="0.35">
      <c r="A58" s="96" t="s">
        <v>74</v>
      </c>
      <c r="B58" s="507">
        <f>SUM(B54:B57)</f>
        <v>34227.4</v>
      </c>
      <c r="C58" s="465">
        <f t="shared" ref="C58:F58" si="14">SUM(C54:C57)</f>
        <v>37938.699999999997</v>
      </c>
      <c r="D58" s="465">
        <f t="shared" si="14"/>
        <v>31023.899999999998</v>
      </c>
      <c r="E58" s="465">
        <f t="shared" si="14"/>
        <v>33803.700000000004</v>
      </c>
      <c r="F58" s="465">
        <f t="shared" si="14"/>
        <v>32811.199999999997</v>
      </c>
      <c r="G58" s="74"/>
      <c r="AA58" s="34"/>
      <c r="AB58" s="34"/>
    </row>
    <row r="59" spans="1:28" x14ac:dyDescent="0.35">
      <c r="A59" s="97" t="s">
        <v>236</v>
      </c>
      <c r="B59" s="510" t="s">
        <v>51</v>
      </c>
      <c r="C59" s="567">
        <f t="shared" ref="C59:E59" si="15">(C58-B58)/B58</f>
        <v>0.10843067250214727</v>
      </c>
      <c r="D59" s="567">
        <f t="shared" si="15"/>
        <v>-0.18226243914525272</v>
      </c>
      <c r="E59" s="567">
        <f t="shared" si="15"/>
        <v>8.9601887576997302E-2</v>
      </c>
      <c r="F59" s="567">
        <f>(F58-E58)/E58</f>
        <v>-2.9360691285273716E-2</v>
      </c>
      <c r="AA59" s="34"/>
      <c r="AB59" s="34"/>
    </row>
    <row r="60" spans="1:28" x14ac:dyDescent="0.35">
      <c r="A60" s="103" t="s">
        <v>226</v>
      </c>
      <c r="B60" s="382">
        <v>736.1</v>
      </c>
      <c r="C60" s="383">
        <v>533.20000000000005</v>
      </c>
      <c r="D60" s="383">
        <v>586.70000000000005</v>
      </c>
      <c r="E60" s="383">
        <v>861.2</v>
      </c>
      <c r="F60" s="383">
        <v>1849.8</v>
      </c>
      <c r="AA60" s="35"/>
      <c r="AB60" s="34"/>
    </row>
    <row r="61" spans="1:28" x14ac:dyDescent="0.35">
      <c r="A61" s="103" t="s">
        <v>227</v>
      </c>
      <c r="B61" s="382">
        <v>792.1</v>
      </c>
      <c r="C61" s="383">
        <v>596.1</v>
      </c>
      <c r="D61" s="383">
        <v>635.6</v>
      </c>
      <c r="E61" s="383">
        <v>515.29999999999995</v>
      </c>
      <c r="F61" s="383">
        <v>436.4</v>
      </c>
    </row>
    <row r="62" spans="1:28" x14ac:dyDescent="0.35">
      <c r="A62" s="103" t="s">
        <v>228</v>
      </c>
      <c r="B62" s="382">
        <v>804.8</v>
      </c>
      <c r="C62" s="383">
        <v>540.5</v>
      </c>
      <c r="D62" s="383">
        <v>493.2</v>
      </c>
      <c r="E62" s="383">
        <v>378.5</v>
      </c>
      <c r="F62" s="383">
        <v>285.60000000000002</v>
      </c>
    </row>
    <row r="63" spans="1:28" x14ac:dyDescent="0.35">
      <c r="A63" s="103" t="s">
        <v>229</v>
      </c>
      <c r="B63" s="382">
        <v>259.39999999999998</v>
      </c>
      <c r="C63" s="383">
        <v>144.1</v>
      </c>
      <c r="D63" s="383">
        <v>105.6</v>
      </c>
      <c r="E63" s="383">
        <v>98.7</v>
      </c>
      <c r="F63" s="383">
        <v>169.9</v>
      </c>
    </row>
    <row r="64" spans="1:28" x14ac:dyDescent="0.35">
      <c r="A64" s="96" t="s">
        <v>231</v>
      </c>
      <c r="B64" s="507">
        <f>SUM(B60:B63)</f>
        <v>2592.4</v>
      </c>
      <c r="C64" s="465">
        <f t="shared" ref="C64:F64" si="16">SUM(C60:C63)</f>
        <v>1813.9</v>
      </c>
      <c r="D64" s="465">
        <f t="shared" si="16"/>
        <v>1821.1000000000001</v>
      </c>
      <c r="E64" s="465">
        <f t="shared" si="16"/>
        <v>1853.7</v>
      </c>
      <c r="F64" s="465">
        <f t="shared" si="16"/>
        <v>2741.7</v>
      </c>
    </row>
    <row r="65" spans="1:6" x14ac:dyDescent="0.35">
      <c r="A65" s="97" t="s">
        <v>237</v>
      </c>
      <c r="B65" s="510" t="s">
        <v>51</v>
      </c>
      <c r="C65" s="567">
        <f t="shared" ref="C65:D65" si="17">(C64-B64)/B64</f>
        <v>-0.30030087949390527</v>
      </c>
      <c r="D65" s="567">
        <f t="shared" si="17"/>
        <v>3.969347814102236E-3</v>
      </c>
      <c r="E65" s="567">
        <f>(E64-D64)/D64</f>
        <v>1.7901268464115043E-2</v>
      </c>
      <c r="F65" s="567">
        <f>(F64-E64)/E64</f>
        <v>0.47904191616766456</v>
      </c>
    </row>
    <row r="66" spans="1:6" x14ac:dyDescent="0.35">
      <c r="A66" s="103" t="s">
        <v>226</v>
      </c>
      <c r="B66" s="382">
        <v>512.20000000000005</v>
      </c>
      <c r="C66" s="383">
        <v>515.20000000000005</v>
      </c>
      <c r="D66" s="383">
        <v>510.3</v>
      </c>
      <c r="E66" s="383">
        <v>524.1</v>
      </c>
      <c r="F66" s="383">
        <v>598.4</v>
      </c>
    </row>
    <row r="67" spans="1:6" x14ac:dyDescent="0.35">
      <c r="A67" s="103" t="s">
        <v>227</v>
      </c>
      <c r="B67" s="382">
        <v>521.20000000000005</v>
      </c>
      <c r="C67" s="383">
        <v>460.9</v>
      </c>
      <c r="D67" s="383">
        <v>451.6</v>
      </c>
      <c r="E67" s="383">
        <v>461.1</v>
      </c>
      <c r="F67" s="383">
        <v>472.9</v>
      </c>
    </row>
    <row r="68" spans="1:6" x14ac:dyDescent="0.35">
      <c r="A68" s="103" t="s">
        <v>228</v>
      </c>
      <c r="B68" s="382">
        <v>387.8</v>
      </c>
      <c r="C68" s="383">
        <v>363.9</v>
      </c>
      <c r="D68" s="383">
        <v>362</v>
      </c>
      <c r="E68" s="383">
        <v>231.7</v>
      </c>
      <c r="F68" s="383">
        <v>233</v>
      </c>
    </row>
    <row r="69" spans="1:6" x14ac:dyDescent="0.35">
      <c r="A69" s="103" t="s">
        <v>229</v>
      </c>
      <c r="B69" s="382">
        <v>223.3</v>
      </c>
      <c r="C69" s="383">
        <v>215.7</v>
      </c>
      <c r="D69" s="383">
        <v>192.6</v>
      </c>
      <c r="E69" s="383">
        <v>146.5</v>
      </c>
      <c r="F69" s="383">
        <v>177.7</v>
      </c>
    </row>
    <row r="70" spans="1:6" x14ac:dyDescent="0.35">
      <c r="A70" s="96" t="s">
        <v>232</v>
      </c>
      <c r="B70" s="507">
        <f>SUM(B66:B69)</f>
        <v>1644.5</v>
      </c>
      <c r="C70" s="465">
        <f t="shared" ref="C70:F70" si="18">SUM(C66:C69)</f>
        <v>1555.7</v>
      </c>
      <c r="D70" s="465">
        <f t="shared" si="18"/>
        <v>1516.5</v>
      </c>
      <c r="E70" s="465">
        <f t="shared" si="18"/>
        <v>1363.4</v>
      </c>
      <c r="F70" s="465">
        <f t="shared" si="18"/>
        <v>1482</v>
      </c>
    </row>
    <row r="71" spans="1:6" ht="15" thickBot="1" x14ac:dyDescent="0.4">
      <c r="A71" s="99" t="s">
        <v>238</v>
      </c>
      <c r="B71" s="510" t="s">
        <v>51</v>
      </c>
      <c r="C71" s="567">
        <f t="shared" ref="C71:E71" si="19">(C70-B70)/B70</f>
        <v>-5.3998175737306142E-2</v>
      </c>
      <c r="D71" s="567">
        <f t="shared" si="19"/>
        <v>-2.5197660217265567E-2</v>
      </c>
      <c r="E71" s="567">
        <f t="shared" si="19"/>
        <v>-0.10095614902736559</v>
      </c>
      <c r="F71" s="567">
        <f>(F70-E70)/E70</f>
        <v>8.6988411324629533E-2</v>
      </c>
    </row>
    <row r="73" spans="1:6" x14ac:dyDescent="0.35">
      <c r="A73" s="9" t="s">
        <v>98</v>
      </c>
    </row>
  </sheetData>
  <mergeCells count="5">
    <mergeCell ref="B5:F5"/>
    <mergeCell ref="A5:A6"/>
    <mergeCell ref="A1:Y1"/>
    <mergeCell ref="A40:A41"/>
    <mergeCell ref="B40:F40"/>
  </mergeCells>
  <hyperlinks>
    <hyperlink ref="A2" location="Home!A1" display="Go to Home" xr:uid="{05DB51CE-71D0-4A79-B062-1BAE905854B5}"/>
    <hyperlink ref="A73" location="References!A1" display="References!A1" xr:uid="{9E12F6A2-1B67-42BB-A9DA-8EF1338DA117}"/>
  </hyperlinks>
  <pageMargins left="0.7" right="0.7" top="0.75" bottom="0.75" header="0.3" footer="0.3"/>
  <pageSetup orientation="portrait" r:id="rId1"/>
  <ignoredErrors>
    <ignoredError sqref="F11 F35 F29 F23 F17 B46:F46"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86D75-0F6A-474A-84FE-7D56856CBC62}">
  <dimension ref="A1:N51"/>
  <sheetViews>
    <sheetView zoomScale="80" zoomScaleNormal="80" workbookViewId="0">
      <selection activeCell="B35" sqref="B35:K35"/>
    </sheetView>
  </sheetViews>
  <sheetFormatPr defaultRowHeight="14.5" x14ac:dyDescent="0.35"/>
  <cols>
    <col min="1" max="1" width="16.453125" bestFit="1" customWidth="1"/>
    <col min="2" max="2" width="12.6328125" customWidth="1"/>
    <col min="3" max="3" width="14" bestFit="1" customWidth="1"/>
    <col min="4" max="4" width="12.6328125" customWidth="1"/>
    <col min="5" max="5" width="14" bestFit="1" customWidth="1"/>
    <col min="6" max="6" width="12.6328125" customWidth="1"/>
    <col min="7" max="7" width="14" bestFit="1" customWidth="1"/>
    <col min="8" max="8" width="10.90625" bestFit="1" customWidth="1"/>
    <col min="9" max="9" width="14" bestFit="1" customWidth="1"/>
    <col min="10" max="10" width="10.90625" bestFit="1" customWidth="1"/>
    <col min="11" max="11" width="14" bestFit="1" customWidth="1"/>
    <col min="12" max="12" width="9.90625" bestFit="1" customWidth="1"/>
    <col min="13" max="15" width="8.81640625" bestFit="1" customWidth="1"/>
    <col min="16" max="16" width="9.36328125" bestFit="1" customWidth="1"/>
  </cols>
  <sheetData>
    <row r="1" spans="1:14" ht="20" thickBot="1" x14ac:dyDescent="0.5">
      <c r="A1" s="834" t="s">
        <v>260</v>
      </c>
      <c r="B1" s="834"/>
      <c r="C1" s="834"/>
      <c r="D1" s="834"/>
      <c r="E1" s="834"/>
      <c r="F1" s="834"/>
      <c r="G1" s="834"/>
      <c r="H1" s="834"/>
      <c r="I1" s="834"/>
      <c r="J1" s="834"/>
      <c r="K1" s="834"/>
      <c r="L1" s="219"/>
      <c r="M1" s="219"/>
      <c r="N1" s="219"/>
    </row>
    <row r="2" spans="1:14" ht="15" thickTop="1" x14ac:dyDescent="0.35">
      <c r="A2" s="253" t="s">
        <v>35</v>
      </c>
      <c r="B2" s="219"/>
      <c r="C2" s="219"/>
      <c r="D2" s="219"/>
      <c r="E2" s="219"/>
      <c r="F2" s="219"/>
      <c r="G2" s="219"/>
      <c r="H2" s="219"/>
      <c r="I2" s="219"/>
      <c r="J2" s="219"/>
      <c r="K2" s="219"/>
      <c r="L2" s="219"/>
      <c r="M2" s="219"/>
      <c r="N2" s="219"/>
    </row>
    <row r="3" spans="1:14" x14ac:dyDescent="0.35">
      <c r="A3" s="220" t="s">
        <v>331</v>
      </c>
      <c r="B3" s="219"/>
      <c r="C3" s="219"/>
      <c r="D3" s="219"/>
      <c r="E3" s="219"/>
      <c r="F3" s="219"/>
      <c r="G3" s="219"/>
      <c r="H3" s="219"/>
      <c r="I3" s="219"/>
      <c r="J3" s="219"/>
      <c r="K3" s="219"/>
      <c r="L3" s="219"/>
      <c r="M3" s="219"/>
      <c r="N3" s="219"/>
    </row>
    <row r="4" spans="1:14" x14ac:dyDescent="0.35">
      <c r="A4" s="835" t="s">
        <v>257</v>
      </c>
      <c r="B4" s="835"/>
      <c r="C4" s="835"/>
      <c r="D4" s="835"/>
      <c r="E4" s="219"/>
      <c r="F4" s="219"/>
      <c r="G4" s="219"/>
      <c r="H4" s="219"/>
      <c r="I4" s="219"/>
      <c r="J4" s="219"/>
      <c r="K4" s="219"/>
      <c r="L4" s="219"/>
      <c r="M4" s="219"/>
      <c r="N4" s="219"/>
    </row>
    <row r="5" spans="1:14" ht="15" thickBot="1" x14ac:dyDescent="0.4">
      <c r="A5" s="219" t="s">
        <v>266</v>
      </c>
      <c r="B5" s="219"/>
      <c r="C5" s="219"/>
      <c r="D5" s="219"/>
      <c r="E5" s="219"/>
      <c r="F5" s="219"/>
      <c r="G5" s="219"/>
      <c r="H5" s="219"/>
      <c r="I5" s="219"/>
      <c r="J5" s="219"/>
      <c r="K5" s="219"/>
      <c r="L5" s="219"/>
      <c r="M5" s="219"/>
      <c r="N5" s="219"/>
    </row>
    <row r="6" spans="1:14" ht="15" thickBot="1" x14ac:dyDescent="0.4">
      <c r="A6" s="271" t="s">
        <v>101</v>
      </c>
      <c r="B6" s="272" t="s">
        <v>261</v>
      </c>
      <c r="C6" s="272" t="s">
        <v>262</v>
      </c>
      <c r="D6" s="272" t="s">
        <v>263</v>
      </c>
      <c r="E6" s="272" t="s">
        <v>264</v>
      </c>
      <c r="F6" s="273" t="s">
        <v>265</v>
      </c>
      <c r="G6" s="219"/>
      <c r="H6" s="219"/>
      <c r="I6" s="219"/>
      <c r="J6" s="219"/>
      <c r="K6" s="219"/>
      <c r="L6" s="219"/>
      <c r="M6" s="219"/>
      <c r="N6" s="219"/>
    </row>
    <row r="7" spans="1:14" x14ac:dyDescent="0.35">
      <c r="A7" s="599">
        <v>2014</v>
      </c>
      <c r="B7" s="574">
        <f>B39*$J$11</f>
        <v>7107.0400450290635</v>
      </c>
      <c r="C7" s="574">
        <f>C39*$J$11</f>
        <v>7617.6633122972435</v>
      </c>
      <c r="D7" s="574">
        <f>D39*$J$11</f>
        <v>7411.2501676973525</v>
      </c>
      <c r="E7" s="574">
        <f>E39*$J$11</f>
        <v>6971.1637663895663</v>
      </c>
      <c r="F7" s="575">
        <f>F39*$J$11</f>
        <v>29107.117291413222</v>
      </c>
      <c r="G7" s="219"/>
      <c r="H7" s="219"/>
      <c r="I7" s="219"/>
      <c r="J7" s="219"/>
      <c r="K7" s="219"/>
      <c r="L7" s="219"/>
      <c r="M7" s="219"/>
      <c r="N7" s="219"/>
    </row>
    <row r="8" spans="1:14" x14ac:dyDescent="0.35">
      <c r="A8" s="600">
        <v>2015</v>
      </c>
      <c r="B8" s="576">
        <f>B40*$J$12</f>
        <v>6313.1399954433646</v>
      </c>
      <c r="C8" s="576">
        <f>C40*$J$12</f>
        <v>6883.9701536176726</v>
      </c>
      <c r="D8" s="576">
        <f>D40*$J$12</f>
        <v>7008.3492563824539</v>
      </c>
      <c r="E8" s="576">
        <f>E40*$J$12</f>
        <v>6718.2726095596554</v>
      </c>
      <c r="F8" s="577">
        <f>F40*$J$12</f>
        <v>26923.732015003145</v>
      </c>
      <c r="G8" s="219"/>
      <c r="H8" s="219"/>
      <c r="I8" s="219"/>
      <c r="J8" s="219"/>
      <c r="K8" s="219"/>
      <c r="L8" s="219"/>
      <c r="M8" s="219"/>
      <c r="N8" s="219"/>
    </row>
    <row r="9" spans="1:14" x14ac:dyDescent="0.35">
      <c r="A9" s="600">
        <v>2016</v>
      </c>
      <c r="B9" s="576">
        <f>B41*$J$13</f>
        <v>6176.9474111171749</v>
      </c>
      <c r="C9" s="576">
        <f>C41*$J$13</f>
        <v>6554.7477990225279</v>
      </c>
      <c r="D9" s="576">
        <f>D41*$J$13</f>
        <v>6721.2059594095172</v>
      </c>
      <c r="E9" s="576">
        <f>E41*$J$13</f>
        <v>6307.7284925023032</v>
      </c>
      <c r="F9" s="577">
        <f>F41*$J$13</f>
        <v>25760.629662051524</v>
      </c>
      <c r="G9" s="219"/>
      <c r="H9" s="219"/>
      <c r="I9" s="219"/>
      <c r="J9" s="219"/>
      <c r="K9" s="219"/>
      <c r="L9" s="219"/>
      <c r="M9" s="219"/>
      <c r="N9" s="219"/>
    </row>
    <row r="10" spans="1:14" x14ac:dyDescent="0.35">
      <c r="A10" s="600">
        <v>2017</v>
      </c>
      <c r="B10" s="576">
        <f>B42*$J$14</f>
        <v>5814.5325607865534</v>
      </c>
      <c r="C10" s="576">
        <f>C42*$J$14</f>
        <v>6197.4625403883811</v>
      </c>
      <c r="D10" s="576">
        <f>D42*$J$14</f>
        <v>5895.1547903067885</v>
      </c>
      <c r="E10" s="576">
        <f>E42*$J$14</f>
        <v>5470.6331649804224</v>
      </c>
      <c r="F10" s="577">
        <f>F42*$J$14</f>
        <v>23377.783056462144</v>
      </c>
      <c r="G10" s="219"/>
      <c r="H10" s="219"/>
      <c r="I10" s="219"/>
      <c r="J10" s="219"/>
      <c r="K10" s="219"/>
      <c r="L10" s="219"/>
      <c r="M10" s="219"/>
      <c r="N10" s="219"/>
    </row>
    <row r="11" spans="1:14" ht="15" thickBot="1" x14ac:dyDescent="0.4">
      <c r="A11" s="601">
        <v>2018</v>
      </c>
      <c r="B11" s="578">
        <f>B43*$J$15</f>
        <v>5138.8999999999996</v>
      </c>
      <c r="C11" s="578">
        <f>C43*$J$15</f>
        <v>5353.9</v>
      </c>
      <c r="D11" s="578">
        <f>D43*$J$15</f>
        <v>5369.4</v>
      </c>
      <c r="E11" s="578">
        <f>E43*$J$15</f>
        <v>5163.0000000000018</v>
      </c>
      <c r="F11" s="579">
        <f>F43*$J$15</f>
        <v>21025.200000000001</v>
      </c>
      <c r="G11" s="219"/>
      <c r="H11" s="219"/>
      <c r="I11" s="219"/>
      <c r="J11" s="642">
        <v>1.060704751284131</v>
      </c>
      <c r="K11" s="219"/>
      <c r="L11" s="219"/>
      <c r="M11" s="219"/>
      <c r="N11" s="219"/>
    </row>
    <row r="12" spans="1:14" x14ac:dyDescent="0.35">
      <c r="A12" s="219"/>
      <c r="B12" s="219"/>
      <c r="C12" s="219"/>
      <c r="D12" s="219"/>
      <c r="E12" s="219"/>
      <c r="F12" s="219"/>
      <c r="G12" s="219"/>
      <c r="H12" s="219"/>
      <c r="I12" s="219"/>
      <c r="J12" s="642">
        <v>1.0594472126471941</v>
      </c>
      <c r="K12" s="219"/>
      <c r="L12" s="219"/>
      <c r="M12" s="219"/>
      <c r="N12" s="219"/>
    </row>
    <row r="13" spans="1:14" ht="15" thickBot="1" x14ac:dyDescent="0.4">
      <c r="A13" s="219" t="s">
        <v>267</v>
      </c>
      <c r="B13" s="219"/>
      <c r="C13" s="219"/>
      <c r="D13" s="219"/>
      <c r="E13" s="219"/>
      <c r="F13" s="219"/>
      <c r="G13" s="219"/>
      <c r="H13" s="219"/>
      <c r="I13" s="219"/>
      <c r="J13" s="642">
        <v>1.0462486510810101</v>
      </c>
      <c r="K13" s="219"/>
      <c r="L13" s="219"/>
      <c r="M13" s="219"/>
      <c r="N13" s="219"/>
    </row>
    <row r="14" spans="1:14" ht="15" thickBot="1" x14ac:dyDescent="0.4">
      <c r="A14" s="271" t="s">
        <v>101</v>
      </c>
      <c r="B14" s="272" t="s">
        <v>261</v>
      </c>
      <c r="C14" s="272" t="s">
        <v>262</v>
      </c>
      <c r="D14" s="272" t="s">
        <v>263</v>
      </c>
      <c r="E14" s="272" t="s">
        <v>264</v>
      </c>
      <c r="F14" s="273" t="s">
        <v>268</v>
      </c>
      <c r="G14" s="219"/>
      <c r="H14" s="219"/>
      <c r="I14" s="219"/>
      <c r="J14" s="642">
        <v>1.02442477154047</v>
      </c>
      <c r="K14" s="219"/>
      <c r="L14" s="219"/>
      <c r="M14" s="219"/>
      <c r="N14" s="219"/>
    </row>
    <row r="15" spans="1:14" x14ac:dyDescent="0.35">
      <c r="A15" s="599">
        <v>2014</v>
      </c>
      <c r="B15" s="568">
        <f>B7/($F$7/4)</f>
        <v>0.97667384562684723</v>
      </c>
      <c r="C15" s="568">
        <f t="shared" ref="C15:E15" si="0">C7/($F$7/4)</f>
        <v>1.0468454482841556</v>
      </c>
      <c r="D15" s="568">
        <f t="shared" si="0"/>
        <v>1.0184794452157881</v>
      </c>
      <c r="E15" s="568">
        <f t="shared" si="0"/>
        <v>0.95800126087320947</v>
      </c>
      <c r="F15" s="569">
        <f>SUM(B15:E15)/4</f>
        <v>1.0000000000000002</v>
      </c>
      <c r="G15" s="219"/>
      <c r="H15" s="219"/>
      <c r="I15" s="219"/>
      <c r="J15" s="642">
        <v>1</v>
      </c>
      <c r="K15" s="219"/>
      <c r="L15" s="219"/>
      <c r="M15" s="219"/>
      <c r="N15" s="219"/>
    </row>
    <row r="16" spans="1:14" x14ac:dyDescent="0.35">
      <c r="A16" s="600">
        <v>2015</v>
      </c>
      <c r="B16" s="570">
        <f>B8/($F$8/4)</f>
        <v>0.93792940620942034</v>
      </c>
      <c r="C16" s="570">
        <f t="shared" ref="C16:E16" si="1">C8/($F$8/4)</f>
        <v>1.0227363947585879</v>
      </c>
      <c r="D16" s="570">
        <f t="shared" si="1"/>
        <v>1.0412151261165545</v>
      </c>
      <c r="E16" s="570">
        <f t="shared" si="1"/>
        <v>0.99811907291543744</v>
      </c>
      <c r="F16" s="571">
        <f t="shared" ref="F16:F19" si="2">SUM(B16:E16)/4</f>
        <v>1</v>
      </c>
      <c r="G16" s="219"/>
      <c r="H16" s="219"/>
      <c r="I16" s="219"/>
      <c r="J16" s="219"/>
      <c r="K16" s="219"/>
      <c r="L16" s="219"/>
      <c r="M16" s="219"/>
      <c r="N16" s="219"/>
    </row>
    <row r="17" spans="1:14" x14ac:dyDescent="0.35">
      <c r="A17" s="600">
        <v>2016</v>
      </c>
      <c r="B17" s="570">
        <f>B9/($F$9/4)</f>
        <v>0.95912988030980528</v>
      </c>
      <c r="C17" s="570">
        <f t="shared" ref="C17:E17" si="3">C9/($F$9/4)</f>
        <v>1.0177931028880791</v>
      </c>
      <c r="D17" s="570">
        <f t="shared" si="3"/>
        <v>1.0436400115344469</v>
      </c>
      <c r="E17" s="570">
        <f t="shared" si="3"/>
        <v>0.97943700526766841</v>
      </c>
      <c r="F17" s="571">
        <f t="shared" si="2"/>
        <v>0.99999999999999989</v>
      </c>
      <c r="G17" s="219"/>
      <c r="H17" s="219"/>
      <c r="I17" s="219"/>
      <c r="J17" s="219"/>
      <c r="K17" s="219"/>
      <c r="L17" s="219"/>
      <c r="M17" s="219"/>
      <c r="N17" s="219"/>
    </row>
    <row r="18" spans="1:14" x14ac:dyDescent="0.35">
      <c r="A18" s="600">
        <v>2017</v>
      </c>
      <c r="B18" s="570">
        <f>B10/($F$10/4)</f>
        <v>0.99488177244921194</v>
      </c>
      <c r="C18" s="570">
        <f t="shared" ref="C18:E18" si="4">C10/($F$10/4)</f>
        <v>1.0604020963699146</v>
      </c>
      <c r="D18" s="570">
        <f t="shared" si="4"/>
        <v>1.0086764473891781</v>
      </c>
      <c r="E18" s="570">
        <f t="shared" si="4"/>
        <v>0.93603968379169589</v>
      </c>
      <c r="F18" s="571">
        <f t="shared" si="2"/>
        <v>1.0000000000000002</v>
      </c>
      <c r="G18" s="219"/>
      <c r="H18" s="219"/>
      <c r="I18" s="219"/>
      <c r="J18" s="219"/>
      <c r="K18" s="219"/>
      <c r="L18" s="219"/>
      <c r="M18" s="219"/>
      <c r="N18" s="219"/>
    </row>
    <row r="19" spans="1:14" ht="15" thickBot="1" x14ac:dyDescent="0.4">
      <c r="A19" s="601">
        <v>2018</v>
      </c>
      <c r="B19" s="572">
        <f>B11/($F$11/4)</f>
        <v>0.97766489736126161</v>
      </c>
      <c r="C19" s="572">
        <f t="shared" ref="C19:E19" si="5">C11/($F$11/4)</f>
        <v>1.0185681943572473</v>
      </c>
      <c r="D19" s="572">
        <f t="shared" si="5"/>
        <v>1.0215170366988184</v>
      </c>
      <c r="E19" s="572">
        <f t="shared" si="5"/>
        <v>0.98224987158267252</v>
      </c>
      <c r="F19" s="573">
        <f t="shared" si="2"/>
        <v>1</v>
      </c>
      <c r="G19" s="219"/>
      <c r="H19" s="219"/>
      <c r="I19" s="219"/>
      <c r="J19" s="219"/>
      <c r="K19" s="219"/>
      <c r="L19" s="219"/>
      <c r="M19" s="219"/>
      <c r="N19" s="219"/>
    </row>
    <row r="20" spans="1:14" x14ac:dyDescent="0.35">
      <c r="A20" s="219"/>
      <c r="B20" s="219"/>
      <c r="C20" s="219"/>
      <c r="D20" s="219"/>
      <c r="E20" s="219"/>
      <c r="F20" s="219"/>
      <c r="G20" s="219"/>
      <c r="H20" s="219"/>
      <c r="I20" s="219"/>
      <c r="J20" s="219"/>
      <c r="K20" s="219"/>
      <c r="L20" s="219"/>
      <c r="M20" s="219"/>
      <c r="N20" s="219"/>
    </row>
    <row r="21" spans="1:14" ht="15" thickBot="1" x14ac:dyDescent="0.4">
      <c r="A21" s="844" t="s">
        <v>251</v>
      </c>
      <c r="B21" s="845"/>
      <c r="C21" s="845"/>
      <c r="D21" s="845"/>
      <c r="E21" s="845"/>
      <c r="F21" s="845"/>
      <c r="G21" s="845"/>
      <c r="H21" s="845"/>
      <c r="I21" s="845"/>
      <c r="J21" s="845"/>
      <c r="K21" s="846"/>
      <c r="L21" s="219"/>
      <c r="M21" s="219"/>
      <c r="N21" s="219"/>
    </row>
    <row r="22" spans="1:14" ht="15" thickBot="1" x14ac:dyDescent="0.4">
      <c r="A22" s="787" t="s">
        <v>272</v>
      </c>
      <c r="B22" s="842" t="s">
        <v>33</v>
      </c>
      <c r="C22" s="842"/>
      <c r="D22" s="842"/>
      <c r="E22" s="842"/>
      <c r="F22" s="842"/>
      <c r="G22" s="842"/>
      <c r="H22" s="842"/>
      <c r="I22" s="842"/>
      <c r="J22" s="842"/>
      <c r="K22" s="843"/>
      <c r="L22" s="219"/>
      <c r="M22" s="219"/>
      <c r="N22" s="219"/>
    </row>
    <row r="23" spans="1:14" ht="15" thickBot="1" x14ac:dyDescent="0.4">
      <c r="A23" s="788"/>
      <c r="B23" s="836">
        <v>2014</v>
      </c>
      <c r="C23" s="837"/>
      <c r="D23" s="838">
        <v>2015</v>
      </c>
      <c r="E23" s="839"/>
      <c r="F23" s="840">
        <v>2016</v>
      </c>
      <c r="G23" s="841"/>
      <c r="H23" s="847">
        <v>2017</v>
      </c>
      <c r="I23" s="848"/>
      <c r="J23" s="849">
        <v>2018</v>
      </c>
      <c r="K23" s="850"/>
      <c r="L23" s="219"/>
      <c r="M23" s="219"/>
      <c r="N23" s="219"/>
    </row>
    <row r="24" spans="1:14" x14ac:dyDescent="0.35">
      <c r="A24" s="274" t="s">
        <v>273</v>
      </c>
      <c r="B24" s="851">
        <f>SUM(B7:E7)/4</f>
        <v>7276.7793228533064</v>
      </c>
      <c r="C24" s="852"/>
      <c r="D24" s="853">
        <f>SUM(B8:E8)/4</f>
        <v>6730.9330037507871</v>
      </c>
      <c r="E24" s="854"/>
      <c r="F24" s="855">
        <f>SUM(B9:E9)/4</f>
        <v>6440.1574155128819</v>
      </c>
      <c r="G24" s="856"/>
      <c r="H24" s="857">
        <f>SUM(B10:E10)/4</f>
        <v>5844.4457641155368</v>
      </c>
      <c r="I24" s="858"/>
      <c r="J24" s="859">
        <f>SUM(B11:E11)/4</f>
        <v>5256.3</v>
      </c>
      <c r="K24" s="860"/>
      <c r="L24" s="219"/>
      <c r="M24" s="219"/>
      <c r="N24" s="219"/>
    </row>
    <row r="25" spans="1:14" x14ac:dyDescent="0.35">
      <c r="A25" s="275"/>
      <c r="B25" s="276" t="s">
        <v>274</v>
      </c>
      <c r="C25" s="277" t="s">
        <v>275</v>
      </c>
      <c r="D25" s="278" t="s">
        <v>274</v>
      </c>
      <c r="E25" s="279" t="s">
        <v>275</v>
      </c>
      <c r="F25" s="280" t="s">
        <v>274</v>
      </c>
      <c r="G25" s="281" t="s">
        <v>275</v>
      </c>
      <c r="H25" s="282" t="s">
        <v>274</v>
      </c>
      <c r="I25" s="283" t="s">
        <v>275</v>
      </c>
      <c r="J25" s="284" t="s">
        <v>274</v>
      </c>
      <c r="K25" s="285" t="s">
        <v>275</v>
      </c>
      <c r="L25" s="219"/>
      <c r="M25" s="219"/>
      <c r="N25" s="219"/>
    </row>
    <row r="26" spans="1:14" x14ac:dyDescent="0.35">
      <c r="A26" s="275" t="s">
        <v>261</v>
      </c>
      <c r="B26" s="286">
        <f>B7-$B$24</f>
        <v>-169.73927782424289</v>
      </c>
      <c r="C26" s="287">
        <f>B26^2</f>
        <v>28811.422436295514</v>
      </c>
      <c r="D26" s="288">
        <f>B8-$D$24</f>
        <v>-417.7930083074225</v>
      </c>
      <c r="E26" s="289">
        <f>D26^(2)</f>
        <v>174550.99779056601</v>
      </c>
      <c r="F26" s="290">
        <f>B9-$F$24</f>
        <v>-263.21000439570707</v>
      </c>
      <c r="G26" s="291">
        <f>F26^2</f>
        <v>69279.506413988143</v>
      </c>
      <c r="H26" s="292">
        <f>B10-$H$24</f>
        <v>-29.9132033289834</v>
      </c>
      <c r="I26" s="293">
        <f>H26^2</f>
        <v>894.79973340110359</v>
      </c>
      <c r="J26" s="294">
        <f>B11-$J$24</f>
        <v>-117.40000000000055</v>
      </c>
      <c r="K26" s="295">
        <f>J26^2</f>
        <v>13782.760000000128</v>
      </c>
      <c r="L26" s="219"/>
      <c r="M26" s="219"/>
      <c r="N26" s="219"/>
    </row>
    <row r="27" spans="1:14" x14ac:dyDescent="0.35">
      <c r="A27" s="275" t="s">
        <v>262</v>
      </c>
      <c r="B27" s="286">
        <f>C7-$B$24</f>
        <v>340.88398944393703</v>
      </c>
      <c r="C27" s="287">
        <f t="shared" ref="C27:C29" si="6">B27^2</f>
        <v>116201.89425921417</v>
      </c>
      <c r="D27" s="288">
        <f>C8-$D$24</f>
        <v>153.03714986688556</v>
      </c>
      <c r="E27" s="289">
        <f t="shared" ref="E27:E29" si="7">D27^(2)</f>
        <v>23420.36923937959</v>
      </c>
      <c r="F27" s="290">
        <f>C9-$F$24</f>
        <v>114.59038350964602</v>
      </c>
      <c r="G27" s="291">
        <f t="shared" ref="G27:G29" si="8">F27^2</f>
        <v>13130.955992887753</v>
      </c>
      <c r="H27" s="292">
        <f>C10-$H$24</f>
        <v>353.01677627284425</v>
      </c>
      <c r="I27" s="293">
        <f t="shared" ref="I27:I29" si="9">H27^2</f>
        <v>124620.84433007137</v>
      </c>
      <c r="J27" s="294">
        <f>C11-$J$24</f>
        <v>97.599999999999454</v>
      </c>
      <c r="K27" s="295">
        <f t="shared" ref="K27:K29" si="10">J27^2</f>
        <v>9525.7599999998929</v>
      </c>
      <c r="L27" s="219"/>
      <c r="M27" s="219"/>
      <c r="N27" s="219"/>
    </row>
    <row r="28" spans="1:14" x14ac:dyDescent="0.35">
      <c r="A28" s="89" t="s">
        <v>263</v>
      </c>
      <c r="B28" s="589">
        <f>D7-$B$24</f>
        <v>134.47084484404604</v>
      </c>
      <c r="C28" s="590">
        <f t="shared" si="6"/>
        <v>18082.408113071502</v>
      </c>
      <c r="D28" s="591">
        <f>D8-$D$24</f>
        <v>277.41625263166679</v>
      </c>
      <c r="E28" s="592">
        <f t="shared" si="7"/>
        <v>76959.777224196776</v>
      </c>
      <c r="F28" s="593">
        <f>D9-$F$24</f>
        <v>281.04854389663524</v>
      </c>
      <c r="G28" s="594">
        <f t="shared" si="8"/>
        <v>78988.2840264189</v>
      </c>
      <c r="H28" s="595">
        <f>D10-$H$24</f>
        <v>50.709026191251724</v>
      </c>
      <c r="I28" s="596">
        <f t="shared" si="9"/>
        <v>2571.4053372650533</v>
      </c>
      <c r="J28" s="597">
        <f>D11-$J$24</f>
        <v>113.09999999999945</v>
      </c>
      <c r="K28" s="598">
        <f t="shared" si="10"/>
        <v>12791.609999999877</v>
      </c>
    </row>
    <row r="29" spans="1:14" x14ac:dyDescent="0.35">
      <c r="A29" s="89" t="s">
        <v>264</v>
      </c>
      <c r="B29" s="589">
        <f>E7-$B$24</f>
        <v>-305.61555646374018</v>
      </c>
      <c r="C29" s="590">
        <f t="shared" si="6"/>
        <v>93400.868352641555</v>
      </c>
      <c r="D29" s="591">
        <f>E8-$D$24</f>
        <v>-12.660394191131672</v>
      </c>
      <c r="E29" s="592">
        <f t="shared" si="7"/>
        <v>160.28558107484059</v>
      </c>
      <c r="F29" s="593">
        <f>E9-$F$24</f>
        <v>-132.42892301057873</v>
      </c>
      <c r="G29" s="594">
        <f t="shared" si="8"/>
        <v>17537.419649741787</v>
      </c>
      <c r="H29" s="595">
        <f>E10-$H$24</f>
        <v>-373.8125991351144</v>
      </c>
      <c r="I29" s="596">
        <f t="shared" si="9"/>
        <v>139735.85927214974</v>
      </c>
      <c r="J29" s="597">
        <f>E11-$J$24</f>
        <v>-93.299999999998363</v>
      </c>
      <c r="K29" s="598">
        <f t="shared" si="10"/>
        <v>8704.8899999996938</v>
      </c>
    </row>
    <row r="30" spans="1:14" x14ac:dyDescent="0.35">
      <c r="A30" s="89"/>
      <c r="B30" s="589"/>
      <c r="C30" s="590"/>
      <c r="D30" s="591"/>
      <c r="E30" s="592"/>
      <c r="F30" s="593"/>
      <c r="G30" s="594"/>
      <c r="H30" s="595"/>
      <c r="I30" s="596"/>
      <c r="J30" s="597"/>
      <c r="K30" s="598"/>
    </row>
    <row r="31" spans="1:14" x14ac:dyDescent="0.35">
      <c r="A31" s="89" t="s">
        <v>276</v>
      </c>
      <c r="B31" s="589">
        <f>SUM(C26:C29)/4</f>
        <v>64124.148290305682</v>
      </c>
      <c r="C31" s="590"/>
      <c r="D31" s="591">
        <f>SUM(E26:E29)/4</f>
        <v>68772.857458804297</v>
      </c>
      <c r="E31" s="592"/>
      <c r="F31" s="593">
        <f>SUM(G26:G29)/4</f>
        <v>44734.041520759143</v>
      </c>
      <c r="G31" s="594"/>
      <c r="H31" s="595">
        <f>SUM(I26:I29)/4</f>
        <v>66955.727168221812</v>
      </c>
      <c r="I31" s="596"/>
      <c r="J31" s="597">
        <f>SUM(K26:K29)/4</f>
        <v>11201.254999999897</v>
      </c>
      <c r="K31" s="598"/>
    </row>
    <row r="32" spans="1:14" x14ac:dyDescent="0.35">
      <c r="A32" s="89"/>
      <c r="B32" s="589"/>
      <c r="C32" s="590"/>
      <c r="D32" s="591"/>
      <c r="E32" s="592"/>
      <c r="F32" s="593"/>
      <c r="G32" s="594"/>
      <c r="H32" s="595"/>
      <c r="I32" s="596"/>
      <c r="J32" s="597"/>
      <c r="K32" s="598"/>
    </row>
    <row r="33" spans="1:11" x14ac:dyDescent="0.35">
      <c r="A33" s="89" t="s">
        <v>277</v>
      </c>
      <c r="B33" s="589">
        <f>B31^(0.5)</f>
        <v>253.22746353882252</v>
      </c>
      <c r="C33" s="590"/>
      <c r="D33" s="591">
        <f t="shared" ref="D33" si="11">D31^(0.5)</f>
        <v>262.24579588394607</v>
      </c>
      <c r="E33" s="592"/>
      <c r="F33" s="593">
        <f>F31^(0.5)</f>
        <v>211.50423523125758</v>
      </c>
      <c r="G33" s="594"/>
      <c r="H33" s="595">
        <f>H31^0.5</f>
        <v>258.75804754291568</v>
      </c>
      <c r="I33" s="596"/>
      <c r="J33" s="597">
        <f>J31^0.5</f>
        <v>105.83598159416248</v>
      </c>
      <c r="K33" s="598"/>
    </row>
    <row r="34" spans="1:11" x14ac:dyDescent="0.35">
      <c r="A34" s="89"/>
      <c r="B34" s="198"/>
      <c r="C34" s="199"/>
      <c r="D34" s="200"/>
      <c r="E34" s="201"/>
      <c r="F34" s="202"/>
      <c r="G34" s="203"/>
      <c r="H34" s="204"/>
      <c r="I34" s="205"/>
      <c r="J34" s="206"/>
      <c r="K34" s="207"/>
    </row>
    <row r="35" spans="1:11" ht="15" thickBot="1" x14ac:dyDescent="0.4">
      <c r="A35" s="90" t="s">
        <v>251</v>
      </c>
      <c r="B35" s="861">
        <f>(B33/B24)</f>
        <v>3.4799387517983602E-2</v>
      </c>
      <c r="C35" s="862"/>
      <c r="D35" s="861">
        <f>(D33/D24)</f>
        <v>3.8961284525906081E-2</v>
      </c>
      <c r="E35" s="862"/>
      <c r="F35" s="861">
        <f>F33/F24</f>
        <v>3.2841469794168653E-2</v>
      </c>
      <c r="G35" s="862"/>
      <c r="H35" s="861">
        <f>H33/H24</f>
        <v>4.4274180647148935E-2</v>
      </c>
      <c r="I35" s="862"/>
      <c r="J35" s="861">
        <f>J33/J24</f>
        <v>2.0135072502361448E-2</v>
      </c>
      <c r="K35" s="862"/>
    </row>
    <row r="37" spans="1:11" ht="15" thickBot="1" x14ac:dyDescent="0.4">
      <c r="A37" t="s">
        <v>256</v>
      </c>
    </row>
    <row r="38" spans="1:11" ht="15" thickBot="1" x14ac:dyDescent="0.4">
      <c r="A38" s="208" t="s">
        <v>101</v>
      </c>
      <c r="B38" s="210" t="s">
        <v>261</v>
      </c>
      <c r="C38" s="211" t="s">
        <v>262</v>
      </c>
      <c r="D38" s="211" t="s">
        <v>263</v>
      </c>
      <c r="E38" s="211" t="s">
        <v>264</v>
      </c>
      <c r="F38" s="212" t="s">
        <v>265</v>
      </c>
    </row>
    <row r="39" spans="1:11" x14ac:dyDescent="0.35">
      <c r="A39" s="190">
        <v>2014</v>
      </c>
      <c r="B39" s="580">
        <v>6700.3</v>
      </c>
      <c r="C39" s="581">
        <v>7181.7</v>
      </c>
      <c r="D39" s="581">
        <v>6987.1</v>
      </c>
      <c r="E39" s="581">
        <f>F39-(D39+C39+B39)</f>
        <v>6572.2000000000007</v>
      </c>
      <c r="F39" s="582">
        <v>27441.3</v>
      </c>
    </row>
    <row r="40" spans="1:11" x14ac:dyDescent="0.35">
      <c r="A40" s="134">
        <v>2015</v>
      </c>
      <c r="B40" s="583">
        <v>5958.9</v>
      </c>
      <c r="C40" s="584">
        <v>6497.7</v>
      </c>
      <c r="D40" s="584">
        <v>6615.1</v>
      </c>
      <c r="E40" s="584">
        <f>F40-(D40+C40+B40)</f>
        <v>6341.3000000000029</v>
      </c>
      <c r="F40" s="585">
        <v>25413</v>
      </c>
    </row>
    <row r="41" spans="1:11" x14ac:dyDescent="0.35">
      <c r="A41" s="134">
        <v>2016</v>
      </c>
      <c r="B41" s="583">
        <v>5903.9</v>
      </c>
      <c r="C41" s="584">
        <v>6265</v>
      </c>
      <c r="D41" s="584">
        <v>6424.1</v>
      </c>
      <c r="E41" s="584">
        <f t="shared" ref="E41:E43" si="12">F41-(D41+C41+B41)</f>
        <v>6028.9000000000015</v>
      </c>
      <c r="F41" s="585">
        <v>24621.9</v>
      </c>
    </row>
    <row r="42" spans="1:11" x14ac:dyDescent="0.35">
      <c r="A42" s="134">
        <v>2017</v>
      </c>
      <c r="B42" s="583">
        <v>5675.9</v>
      </c>
      <c r="C42" s="584">
        <v>6049.7</v>
      </c>
      <c r="D42" s="584">
        <v>5754.6</v>
      </c>
      <c r="E42" s="584">
        <f t="shared" si="12"/>
        <v>5340.2000000000044</v>
      </c>
      <c r="F42" s="585">
        <v>22820.400000000001</v>
      </c>
    </row>
    <row r="43" spans="1:11" ht="15" thickBot="1" x14ac:dyDescent="0.4">
      <c r="A43" s="209">
        <v>2018</v>
      </c>
      <c r="B43" s="586">
        <v>5138.8999999999996</v>
      </c>
      <c r="C43" s="587">
        <v>5353.9</v>
      </c>
      <c r="D43" s="587">
        <v>5369.4</v>
      </c>
      <c r="E43" s="587">
        <f t="shared" si="12"/>
        <v>5163.0000000000018</v>
      </c>
      <c r="F43" s="588">
        <v>21025.200000000001</v>
      </c>
    </row>
    <row r="48" spans="1:11" x14ac:dyDescent="0.35">
      <c r="A48" s="727"/>
      <c r="B48" s="727"/>
      <c r="C48" s="727"/>
      <c r="D48" s="727"/>
      <c r="E48" s="727"/>
      <c r="F48" s="727"/>
      <c r="G48" s="727"/>
      <c r="H48" s="727"/>
      <c r="I48" s="727"/>
      <c r="J48" s="727"/>
      <c r="K48" s="727"/>
    </row>
    <row r="49" spans="1:11" x14ac:dyDescent="0.35">
      <c r="A49" s="727"/>
      <c r="B49" s="727"/>
      <c r="C49" s="727"/>
      <c r="D49" s="727"/>
      <c r="E49" s="727"/>
      <c r="F49" s="727"/>
      <c r="G49" s="727"/>
      <c r="H49" s="727"/>
      <c r="I49" s="727"/>
      <c r="J49" s="727"/>
      <c r="K49" s="727"/>
    </row>
    <row r="50" spans="1:11" x14ac:dyDescent="0.35">
      <c r="A50" s="727"/>
      <c r="B50" s="727"/>
      <c r="C50" s="727"/>
      <c r="D50" s="727"/>
      <c r="E50" s="727"/>
      <c r="F50" s="727"/>
      <c r="G50" s="727"/>
      <c r="H50" s="727"/>
      <c r="I50" s="727"/>
      <c r="J50" s="727"/>
      <c r="K50" s="727"/>
    </row>
    <row r="51" spans="1:11" x14ac:dyDescent="0.35">
      <c r="A51" s="727"/>
      <c r="B51" s="727"/>
      <c r="C51" s="727"/>
      <c r="D51" s="727"/>
      <c r="E51" s="727"/>
      <c r="F51" s="727"/>
      <c r="G51" s="727"/>
      <c r="H51" s="727"/>
      <c r="I51" s="727"/>
      <c r="J51" s="727"/>
      <c r="K51" s="727"/>
    </row>
  </sheetData>
  <mergeCells count="20">
    <mergeCell ref="B35:C35"/>
    <mergeCell ref="D35:E35"/>
    <mergeCell ref="F35:G35"/>
    <mergeCell ref="H35:I35"/>
    <mergeCell ref="J35:K35"/>
    <mergeCell ref="B24:C24"/>
    <mergeCell ref="D24:E24"/>
    <mergeCell ref="F24:G24"/>
    <mergeCell ref="H24:I24"/>
    <mergeCell ref="J24:K24"/>
    <mergeCell ref="A1:K1"/>
    <mergeCell ref="A4:D4"/>
    <mergeCell ref="B23:C23"/>
    <mergeCell ref="D23:E23"/>
    <mergeCell ref="F23:G23"/>
    <mergeCell ref="B22:K22"/>
    <mergeCell ref="A21:K21"/>
    <mergeCell ref="A22:A23"/>
    <mergeCell ref="H23:I23"/>
    <mergeCell ref="J23:K23"/>
  </mergeCells>
  <hyperlinks>
    <hyperlink ref="A2" location="Home!A1" display="Go to Home" xr:uid="{B57627DD-E4BC-4FC1-8F85-E1EF43146438}"/>
  </hyperlinks>
  <pageMargins left="0.7" right="0.7" top="0.75" bottom="0.75" header="0.3" footer="0.3"/>
  <ignoredErrors>
    <ignoredError sqref="H26:H29 J26:J29"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DF038-1B21-4917-9D39-E60BCF1733A0}">
  <dimension ref="A1:R40"/>
  <sheetViews>
    <sheetView zoomScaleNormal="100" workbookViewId="0">
      <selection activeCell="C15" sqref="C15"/>
    </sheetView>
  </sheetViews>
  <sheetFormatPr defaultRowHeight="14.5" x14ac:dyDescent="0.35"/>
  <cols>
    <col min="1" max="1" width="16.1796875" bestFit="1" customWidth="1"/>
    <col min="2" max="8" width="15.36328125" customWidth="1"/>
  </cols>
  <sheetData>
    <row r="1" spans="1:15" ht="20" thickBot="1" x14ac:dyDescent="0.5">
      <c r="A1" s="834" t="s">
        <v>240</v>
      </c>
      <c r="B1" s="834"/>
      <c r="C1" s="834"/>
      <c r="D1" s="834"/>
      <c r="E1" s="834"/>
      <c r="F1" s="834"/>
      <c r="G1" s="834"/>
      <c r="H1" s="834"/>
      <c r="I1" s="219"/>
      <c r="J1" s="219"/>
      <c r="K1" s="219"/>
      <c r="L1" s="219"/>
      <c r="M1" s="219"/>
      <c r="N1" s="219"/>
    </row>
    <row r="2" spans="1:15" ht="15" thickTop="1" x14ac:dyDescent="0.35">
      <c r="A2" s="253" t="s">
        <v>35</v>
      </c>
      <c r="B2" s="219"/>
      <c r="C2" s="219"/>
      <c r="D2" s="219"/>
      <c r="E2" s="219"/>
      <c r="F2" s="219"/>
      <c r="G2" s="219"/>
      <c r="H2" s="219"/>
      <c r="I2" s="219"/>
      <c r="J2" s="219"/>
      <c r="K2" s="219"/>
      <c r="L2" s="219"/>
      <c r="M2" s="219"/>
      <c r="N2" s="219"/>
    </row>
    <row r="3" spans="1:15" x14ac:dyDescent="0.35">
      <c r="A3" s="220" t="s">
        <v>109</v>
      </c>
      <c r="B3" s="219"/>
      <c r="C3" s="219"/>
      <c r="D3" s="219"/>
      <c r="E3" s="219"/>
      <c r="F3" s="219"/>
      <c r="G3" s="219"/>
      <c r="H3" s="219"/>
      <c r="I3" s="219"/>
      <c r="J3" s="219"/>
      <c r="K3" s="219"/>
      <c r="L3" s="219"/>
      <c r="M3" s="219"/>
      <c r="N3" s="219"/>
    </row>
    <row r="4" spans="1:15" ht="15" thickBot="1" x14ac:dyDescent="0.4">
      <c r="A4" s="835" t="s">
        <v>257</v>
      </c>
      <c r="B4" s="835"/>
      <c r="C4" s="835"/>
      <c r="D4" s="255"/>
      <c r="E4" s="255"/>
      <c r="F4" s="219"/>
      <c r="G4" s="219"/>
      <c r="H4" s="219"/>
      <c r="I4" s="219"/>
      <c r="J4" s="219"/>
      <c r="K4" s="219"/>
      <c r="L4" s="219"/>
      <c r="M4" s="219"/>
      <c r="N4" s="219"/>
    </row>
    <row r="5" spans="1:15" x14ac:dyDescent="0.35">
      <c r="A5" s="871" t="s">
        <v>101</v>
      </c>
      <c r="B5" s="873" t="s">
        <v>247</v>
      </c>
      <c r="C5" s="863" t="s">
        <v>248</v>
      </c>
      <c r="D5" s="863" t="s">
        <v>271</v>
      </c>
      <c r="E5" s="863" t="s">
        <v>249</v>
      </c>
      <c r="F5" s="863" t="s">
        <v>250</v>
      </c>
      <c r="G5" s="867" t="s">
        <v>251</v>
      </c>
      <c r="H5" s="869" t="s">
        <v>252</v>
      </c>
      <c r="I5" s="219"/>
      <c r="J5" s="219"/>
      <c r="K5" s="219"/>
      <c r="L5" s="219"/>
      <c r="M5" s="219"/>
      <c r="N5" s="219"/>
    </row>
    <row r="6" spans="1:15" ht="15" thickBot="1" x14ac:dyDescent="0.4">
      <c r="A6" s="872"/>
      <c r="B6" s="874"/>
      <c r="C6" s="864"/>
      <c r="D6" s="864"/>
      <c r="E6" s="864"/>
      <c r="F6" s="864"/>
      <c r="G6" s="868"/>
      <c r="H6" s="870"/>
      <c r="I6" s="219"/>
      <c r="J6" s="219"/>
      <c r="K6" s="219"/>
      <c r="L6" s="219"/>
      <c r="M6" s="219"/>
      <c r="N6" s="219"/>
    </row>
    <row r="7" spans="1:15" x14ac:dyDescent="0.35">
      <c r="A7" s="606">
        <v>2014</v>
      </c>
      <c r="B7" s="648">
        <v>792251.8</v>
      </c>
      <c r="C7" s="614">
        <v>29107.1172914132</v>
      </c>
      <c r="D7" s="262" t="s">
        <v>51</v>
      </c>
      <c r="E7" s="214">
        <f>C7/B7</f>
        <v>3.6739730085072954E-2</v>
      </c>
      <c r="F7" s="609">
        <v>1.0000000000000002</v>
      </c>
      <c r="G7" s="214">
        <v>3.4799999999999998E-2</v>
      </c>
      <c r="H7" s="263" t="s">
        <v>269</v>
      </c>
      <c r="I7" s="219"/>
      <c r="J7" s="219"/>
      <c r="K7" s="642">
        <v>1.060704751284131</v>
      </c>
      <c r="L7" s="219"/>
      <c r="M7" s="219"/>
      <c r="N7" s="219"/>
      <c r="O7" s="72"/>
    </row>
    <row r="8" spans="1:15" x14ac:dyDescent="0.35">
      <c r="A8" s="607">
        <v>2015</v>
      </c>
      <c r="B8" s="649">
        <v>849967.1</v>
      </c>
      <c r="C8" s="613">
        <v>26923.732015003101</v>
      </c>
      <c r="D8" s="602">
        <f>(C8-C7)/C7</f>
        <v>-7.5012075381790319E-2</v>
      </c>
      <c r="E8" s="214">
        <f t="shared" ref="E8:E11" si="0">C8/B8</f>
        <v>3.1676204896640234E-2</v>
      </c>
      <c r="F8" s="610">
        <v>1</v>
      </c>
      <c r="G8" s="88">
        <v>3.9E-2</v>
      </c>
      <c r="H8" s="265" t="s">
        <v>269</v>
      </c>
      <c r="I8" s="219"/>
      <c r="J8" s="219"/>
      <c r="K8" s="642">
        <v>1.0594472126471941</v>
      </c>
      <c r="L8" s="219"/>
      <c r="M8" s="219"/>
      <c r="N8" s="219"/>
    </row>
    <row r="9" spans="1:15" x14ac:dyDescent="0.35">
      <c r="A9" s="607">
        <v>2016</v>
      </c>
      <c r="B9" s="649">
        <v>884585</v>
      </c>
      <c r="C9" s="613">
        <v>25760.629662051499</v>
      </c>
      <c r="D9" s="602">
        <f t="shared" ref="D9:D11" si="1">(C9-C8)/C8</f>
        <v>-4.3199893399008357E-2</v>
      </c>
      <c r="E9" s="214">
        <f t="shared" si="0"/>
        <v>2.9121712059385473E-2</v>
      </c>
      <c r="F9" s="610">
        <v>0.99999999999999989</v>
      </c>
      <c r="G9" s="88">
        <v>3.2800000000000003E-2</v>
      </c>
      <c r="H9" s="265" t="s">
        <v>269</v>
      </c>
      <c r="I9" s="219"/>
      <c r="J9" s="219"/>
      <c r="K9" s="642">
        <v>1.0462486510810101</v>
      </c>
      <c r="L9" s="219"/>
      <c r="M9" s="219"/>
      <c r="N9" s="219"/>
      <c r="O9" s="72"/>
    </row>
    <row r="10" spans="1:15" x14ac:dyDescent="0.35">
      <c r="A10" s="607">
        <v>2017</v>
      </c>
      <c r="B10" s="649">
        <v>900356.9</v>
      </c>
      <c r="C10" s="613">
        <v>23377.7830564621</v>
      </c>
      <c r="D10" s="602">
        <f t="shared" si="1"/>
        <v>-9.249954821949162E-2</v>
      </c>
      <c r="E10" s="214">
        <f t="shared" si="0"/>
        <v>2.596501793506786E-2</v>
      </c>
      <c r="F10" s="610">
        <v>1.0000000000000002</v>
      </c>
      <c r="G10" s="88">
        <v>4.4299999999999999E-2</v>
      </c>
      <c r="H10" s="265" t="s">
        <v>269</v>
      </c>
      <c r="I10" s="219"/>
      <c r="J10" s="219"/>
      <c r="K10" s="642">
        <v>1.02442477154047</v>
      </c>
      <c r="L10" s="219"/>
      <c r="M10" s="219"/>
      <c r="N10" s="219"/>
    </row>
    <row r="11" spans="1:15" ht="15" thickBot="1" x14ac:dyDescent="0.4">
      <c r="A11" s="608">
        <v>2018</v>
      </c>
      <c r="B11" s="650">
        <v>906714.2</v>
      </c>
      <c r="C11" s="612">
        <v>21025.200000000001</v>
      </c>
      <c r="D11" s="603">
        <f t="shared" si="1"/>
        <v>-0.1006332829242248</v>
      </c>
      <c r="E11" s="617">
        <f t="shared" si="0"/>
        <v>2.3188343140539767E-2</v>
      </c>
      <c r="F11" s="611">
        <v>1</v>
      </c>
      <c r="G11" s="213">
        <v>2.01E-2</v>
      </c>
      <c r="H11" s="266" t="s">
        <v>269</v>
      </c>
      <c r="I11" s="219"/>
      <c r="J11" s="219"/>
      <c r="K11" s="642">
        <v>1</v>
      </c>
      <c r="L11" s="219"/>
      <c r="M11" s="219"/>
      <c r="N11" s="219"/>
      <c r="O11" s="72"/>
    </row>
    <row r="12" spans="1:15" x14ac:dyDescent="0.35">
      <c r="A12" s="219"/>
      <c r="B12" s="219"/>
      <c r="C12" s="219"/>
      <c r="D12" s="219"/>
      <c r="E12" s="616"/>
      <c r="F12" s="219"/>
      <c r="G12" s="219"/>
      <c r="H12" s="219"/>
      <c r="I12" s="219"/>
      <c r="J12" s="219"/>
      <c r="K12" s="219"/>
      <c r="L12" s="219"/>
      <c r="M12" s="219"/>
      <c r="N12" s="219"/>
    </row>
    <row r="13" spans="1:15" x14ac:dyDescent="0.35">
      <c r="A13" s="267" t="s">
        <v>283</v>
      </c>
      <c r="B13" s="604">
        <f>SUM(D8:D11)/4</f>
        <v>-7.783619998112877E-2</v>
      </c>
      <c r="C13" s="219"/>
      <c r="D13" s="219"/>
      <c r="E13" s="219"/>
      <c r="F13" s="615"/>
      <c r="G13" s="219"/>
      <c r="H13" s="219"/>
      <c r="I13" s="219"/>
      <c r="J13" s="219"/>
      <c r="K13" s="219"/>
      <c r="L13" s="219"/>
      <c r="M13" s="219"/>
      <c r="N13" s="219"/>
      <c r="O13" s="72"/>
    </row>
    <row r="14" spans="1:15" x14ac:dyDescent="0.35">
      <c r="A14" s="219"/>
      <c r="B14" s="219"/>
      <c r="C14" s="219"/>
      <c r="D14" s="219"/>
      <c r="E14" s="219"/>
      <c r="F14" s="615"/>
      <c r="G14" s="219"/>
      <c r="H14" s="219"/>
      <c r="I14" s="219"/>
      <c r="J14" s="219"/>
      <c r="K14" s="219"/>
      <c r="L14" s="219"/>
      <c r="M14" s="219"/>
      <c r="N14" s="219"/>
      <c r="O14" s="72"/>
    </row>
    <row r="15" spans="1:15" ht="15" thickBot="1" x14ac:dyDescent="0.4">
      <c r="A15" s="220" t="s">
        <v>256</v>
      </c>
      <c r="B15" s="219"/>
      <c r="C15" s="219"/>
      <c r="E15" s="219"/>
      <c r="F15" s="615"/>
      <c r="G15" s="219"/>
      <c r="H15" s="219"/>
      <c r="I15" s="219"/>
      <c r="J15" s="219"/>
      <c r="K15" s="219"/>
      <c r="L15" s="219"/>
      <c r="M15" s="219"/>
      <c r="N15" s="219"/>
    </row>
    <row r="16" spans="1:15" x14ac:dyDescent="0.35">
      <c r="A16" s="268" t="s">
        <v>280</v>
      </c>
      <c r="B16" s="269"/>
      <c r="C16" s="219"/>
      <c r="E16" s="219"/>
      <c r="F16" s="615"/>
      <c r="G16" s="270"/>
      <c r="H16" s="270"/>
      <c r="I16" s="270"/>
      <c r="J16" s="270"/>
      <c r="K16" s="270"/>
      <c r="L16" s="270"/>
      <c r="M16" s="270"/>
      <c r="N16" s="270"/>
    </row>
    <row r="17" spans="1:18" x14ac:dyDescent="0.35">
      <c r="A17" s="775">
        <v>2014</v>
      </c>
      <c r="B17" s="646">
        <v>746910.8</v>
      </c>
      <c r="C17" s="219"/>
      <c r="E17" s="219"/>
      <c r="F17" s="615"/>
      <c r="G17" s="219"/>
      <c r="H17" s="219"/>
      <c r="I17" s="219"/>
      <c r="J17" s="219"/>
      <c r="K17" s="219"/>
      <c r="L17" s="219"/>
      <c r="M17" s="219"/>
      <c r="N17" s="219"/>
    </row>
    <row r="18" spans="1:18" x14ac:dyDescent="0.35">
      <c r="A18" s="775">
        <v>2015</v>
      </c>
      <c r="B18" s="646">
        <v>802274.1</v>
      </c>
      <c r="C18" s="219"/>
      <c r="E18" s="774"/>
      <c r="F18" s="774"/>
      <c r="G18" s="774"/>
      <c r="H18" s="774"/>
      <c r="I18" s="774"/>
      <c r="J18" s="774"/>
      <c r="K18" s="774"/>
      <c r="L18" s="774"/>
      <c r="M18" s="774"/>
      <c r="N18" s="774"/>
    </row>
    <row r="19" spans="1:18" x14ac:dyDescent="0.35">
      <c r="A19" s="775">
        <v>2016</v>
      </c>
      <c r="B19" s="646">
        <v>845482.6</v>
      </c>
      <c r="C19" s="605"/>
      <c r="E19" s="219"/>
      <c r="F19" s="219"/>
      <c r="G19" s="219"/>
      <c r="H19" s="219"/>
      <c r="I19" s="219"/>
      <c r="J19" s="219"/>
      <c r="K19" s="219"/>
      <c r="L19" s="219"/>
      <c r="M19" s="219"/>
      <c r="N19" s="219"/>
    </row>
    <row r="20" spans="1:18" x14ac:dyDescent="0.35">
      <c r="A20" s="775">
        <v>2017</v>
      </c>
      <c r="B20" s="646">
        <v>878890.2</v>
      </c>
      <c r="C20" s="219"/>
      <c r="D20" s="219"/>
      <c r="E20" s="219"/>
      <c r="F20" s="774"/>
      <c r="G20" s="219"/>
      <c r="H20" s="219"/>
      <c r="I20" s="219"/>
      <c r="J20" s="219"/>
      <c r="K20" s="219"/>
      <c r="L20" s="219"/>
      <c r="M20" s="219"/>
      <c r="N20" s="219"/>
    </row>
    <row r="21" spans="1:18" ht="15" thickBot="1" x14ac:dyDescent="0.4">
      <c r="A21" s="776">
        <v>2018</v>
      </c>
      <c r="B21" s="647">
        <v>906714.2</v>
      </c>
      <c r="C21" s="219"/>
      <c r="D21" s="219"/>
      <c r="E21" s="219"/>
      <c r="F21" s="774"/>
      <c r="G21" s="219"/>
      <c r="H21" s="219"/>
      <c r="I21" s="219"/>
      <c r="J21" s="219"/>
      <c r="K21" s="219"/>
      <c r="L21" s="219"/>
      <c r="M21" s="219"/>
      <c r="N21" s="219"/>
    </row>
    <row r="22" spans="1:18" x14ac:dyDescent="0.35">
      <c r="A22" s="219"/>
      <c r="B22" s="219"/>
      <c r="C22" s="219"/>
      <c r="D22" s="219"/>
      <c r="E22" s="219"/>
      <c r="F22" s="774"/>
      <c r="G22" s="219"/>
      <c r="H22" s="219"/>
      <c r="I22" s="219"/>
      <c r="J22" s="219"/>
      <c r="K22" s="219"/>
      <c r="L22" s="219"/>
      <c r="M22" s="219"/>
      <c r="N22" s="219"/>
    </row>
    <row r="23" spans="1:18" x14ac:dyDescent="0.35">
      <c r="A23" s="866" t="s">
        <v>278</v>
      </c>
      <c r="B23" s="866"/>
      <c r="C23" s="220"/>
      <c r="D23" s="220"/>
      <c r="E23" s="220"/>
      <c r="F23" s="774"/>
      <c r="G23" s="219"/>
      <c r="H23" s="219"/>
      <c r="I23" s="219"/>
      <c r="J23" s="219"/>
      <c r="K23" s="219"/>
      <c r="L23" s="219"/>
      <c r="M23" s="219"/>
      <c r="N23" s="219"/>
    </row>
    <row r="24" spans="1:18" x14ac:dyDescent="0.35">
      <c r="A24" s="865" t="s">
        <v>270</v>
      </c>
      <c r="B24" s="865"/>
      <c r="C24" s="865"/>
      <c r="D24" s="865"/>
      <c r="E24" s="865"/>
      <c r="F24" s="774"/>
      <c r="G24" s="219"/>
      <c r="H24" s="219"/>
      <c r="I24" s="219"/>
      <c r="J24" s="219"/>
      <c r="K24" s="219"/>
      <c r="L24" s="219"/>
      <c r="M24" s="219"/>
      <c r="N24" s="219"/>
    </row>
    <row r="25" spans="1:18" x14ac:dyDescent="0.35">
      <c r="A25" s="219"/>
      <c r="B25" s="219"/>
      <c r="C25" s="219"/>
      <c r="D25" s="219"/>
      <c r="E25" s="219"/>
      <c r="F25" s="774"/>
      <c r="G25" s="219"/>
      <c r="H25" s="219"/>
      <c r="I25" s="219"/>
      <c r="J25" s="219"/>
      <c r="K25" s="219"/>
      <c r="L25" s="219"/>
      <c r="M25" s="219"/>
      <c r="N25" s="219"/>
    </row>
    <row r="26" spans="1:18" x14ac:dyDescent="0.35">
      <c r="A26" s="219"/>
      <c r="B26" s="219"/>
      <c r="C26" s="219"/>
      <c r="D26" s="219"/>
      <c r="E26" s="219"/>
      <c r="F26" s="774"/>
      <c r="G26" s="219"/>
      <c r="H26" s="219"/>
      <c r="I26" s="219"/>
      <c r="J26" s="219"/>
      <c r="K26" s="219"/>
      <c r="L26" s="219"/>
      <c r="M26" s="219"/>
      <c r="N26" s="219"/>
    </row>
    <row r="27" spans="1:18" x14ac:dyDescent="0.35">
      <c r="A27" s="219"/>
      <c r="B27" s="219"/>
      <c r="C27" s="219"/>
      <c r="D27" s="219"/>
      <c r="E27" s="219"/>
      <c r="F27" s="774"/>
      <c r="G27" s="219"/>
      <c r="H27" s="219"/>
      <c r="I27" s="219"/>
      <c r="J27" s="219"/>
      <c r="K27" s="219"/>
      <c r="L27" s="219"/>
      <c r="M27" s="219"/>
      <c r="N27" s="219"/>
    </row>
    <row r="28" spans="1:18" x14ac:dyDescent="0.35">
      <c r="F28" s="774"/>
    </row>
    <row r="29" spans="1:18" x14ac:dyDescent="0.35">
      <c r="F29" s="774"/>
    </row>
    <row r="32" spans="1:18" x14ac:dyDescent="0.35">
      <c r="I32" s="72"/>
      <c r="J32" s="72"/>
      <c r="K32" s="72"/>
      <c r="L32" s="72"/>
      <c r="M32" s="72"/>
      <c r="N32" s="72"/>
      <c r="O32" s="72"/>
      <c r="P32" s="72"/>
      <c r="Q32" s="72"/>
      <c r="R32" s="72"/>
    </row>
    <row r="34" spans="2:2" x14ac:dyDescent="0.35">
      <c r="B34" s="72"/>
    </row>
    <row r="37" spans="2:2" x14ac:dyDescent="0.35">
      <c r="B37" s="87"/>
    </row>
    <row r="38" spans="2:2" x14ac:dyDescent="0.35">
      <c r="B38" s="87"/>
    </row>
    <row r="39" spans="2:2" x14ac:dyDescent="0.35">
      <c r="B39" s="87"/>
    </row>
    <row r="40" spans="2:2" x14ac:dyDescent="0.35">
      <c r="B40" s="87"/>
    </row>
  </sheetData>
  <mergeCells count="12">
    <mergeCell ref="A4:C4"/>
    <mergeCell ref="D5:D6"/>
    <mergeCell ref="A1:H1"/>
    <mergeCell ref="A24:E24"/>
    <mergeCell ref="A23:B23"/>
    <mergeCell ref="F5:F6"/>
    <mergeCell ref="G5:G6"/>
    <mergeCell ref="H5:H6"/>
    <mergeCell ref="A5:A6"/>
    <mergeCell ref="B5:B6"/>
    <mergeCell ref="C5:C6"/>
    <mergeCell ref="E5:E6"/>
  </mergeCells>
  <phoneticPr fontId="14" type="noConversion"/>
  <hyperlinks>
    <hyperlink ref="A2" location="Home!A1" display="Go to Home" xr:uid="{60A330FD-A1B6-4229-B5F0-5FF5AC41844A}"/>
    <hyperlink ref="A24" r:id="rId1" xr:uid="{4A48ABE2-4876-47C0-B954-22ADF0CA036D}"/>
    <hyperlink ref="A24:E24" r:id="rId2" display="https://www.ibisworld.com/global/market-size/global-fast-food-restaurants/1480/" xr:uid="{3518E337-50A2-44C1-98EB-C6A177C956D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84F34-A57F-4145-B787-850C44A185A5}">
  <dimension ref="A1:Q100"/>
  <sheetViews>
    <sheetView zoomScale="80" zoomScaleNormal="80" workbookViewId="0">
      <selection activeCell="A3" sqref="A3"/>
    </sheetView>
  </sheetViews>
  <sheetFormatPr defaultRowHeight="14.5" x14ac:dyDescent="0.35"/>
  <cols>
    <col min="2" max="2" width="10.81640625" bestFit="1" customWidth="1"/>
  </cols>
  <sheetData>
    <row r="1" spans="1:17" ht="20" thickBot="1" x14ac:dyDescent="0.5">
      <c r="A1" s="834" t="s">
        <v>17</v>
      </c>
      <c r="B1" s="834"/>
      <c r="C1" s="834"/>
      <c r="D1" s="834"/>
      <c r="E1" s="834"/>
      <c r="F1" s="834"/>
      <c r="G1" s="834"/>
      <c r="H1" s="834"/>
      <c r="I1" s="834"/>
      <c r="J1" s="834"/>
      <c r="K1" s="834"/>
      <c r="L1" s="834"/>
      <c r="M1" s="834"/>
      <c r="N1" s="834"/>
      <c r="O1" s="875"/>
      <c r="P1" s="875"/>
      <c r="Q1" s="875"/>
    </row>
    <row r="2" spans="1:17" ht="15" thickTop="1" x14ac:dyDescent="0.35">
      <c r="A2" s="865" t="s">
        <v>35</v>
      </c>
      <c r="B2" s="865"/>
      <c r="C2" s="219"/>
      <c r="D2" s="219"/>
      <c r="E2" s="219"/>
      <c r="F2" s="219"/>
      <c r="G2" s="219"/>
      <c r="H2" s="219"/>
      <c r="I2" s="219"/>
      <c r="J2" s="219"/>
      <c r="K2" s="219"/>
      <c r="L2" s="219"/>
      <c r="M2" s="219"/>
      <c r="N2" s="219"/>
    </row>
    <row r="3" spans="1:17" x14ac:dyDescent="0.35">
      <c r="A3" s="219"/>
      <c r="B3" s="219"/>
      <c r="C3" s="219"/>
      <c r="D3" s="219"/>
      <c r="E3" s="219"/>
      <c r="F3" s="219"/>
      <c r="G3" s="219"/>
      <c r="H3" s="219"/>
      <c r="I3" s="219"/>
      <c r="J3" s="219"/>
      <c r="K3" s="219"/>
      <c r="L3" s="219"/>
      <c r="M3" s="219"/>
      <c r="N3" s="219"/>
    </row>
    <row r="4" spans="1:17" ht="14.5" customHeight="1" x14ac:dyDescent="0.35">
      <c r="A4" s="219"/>
      <c r="B4" s="260"/>
      <c r="C4" s="260"/>
      <c r="D4" s="260"/>
      <c r="E4" s="260"/>
      <c r="F4" s="260"/>
      <c r="G4" s="260"/>
      <c r="H4" s="260"/>
      <c r="I4" s="260"/>
      <c r="J4" s="260"/>
      <c r="K4" s="260"/>
      <c r="L4" s="260"/>
      <c r="M4" s="260"/>
      <c r="N4" s="260"/>
      <c r="O4" s="215"/>
      <c r="P4" s="215"/>
      <c r="Q4" s="215"/>
    </row>
    <row r="5" spans="1:17" ht="14.5" customHeight="1" x14ac:dyDescent="0.35">
      <c r="A5" s="219"/>
      <c r="B5" s="260"/>
      <c r="C5" s="260"/>
      <c r="D5" s="260"/>
      <c r="E5" s="260"/>
      <c r="F5" s="260"/>
      <c r="G5" s="260"/>
      <c r="H5" s="260"/>
      <c r="I5" s="260"/>
      <c r="J5" s="260"/>
      <c r="K5" s="260"/>
      <c r="L5" s="260"/>
      <c r="M5" s="260"/>
      <c r="N5" s="260"/>
      <c r="O5" s="215"/>
      <c r="P5" s="215"/>
      <c r="Q5" s="215"/>
    </row>
    <row r="6" spans="1:17" ht="14.5" customHeight="1" x14ac:dyDescent="0.35">
      <c r="A6" s="219"/>
      <c r="B6" s="260"/>
      <c r="C6" s="260"/>
      <c r="D6" s="260"/>
      <c r="E6" s="260"/>
      <c r="F6" s="260"/>
      <c r="G6" s="260"/>
      <c r="H6" s="260"/>
      <c r="I6" s="260"/>
      <c r="J6" s="260"/>
      <c r="K6" s="260"/>
      <c r="L6" s="260"/>
      <c r="M6" s="260"/>
      <c r="N6" s="260"/>
      <c r="O6" s="215"/>
      <c r="P6" s="215"/>
      <c r="Q6" s="215"/>
    </row>
    <row r="7" spans="1:17" ht="14.5" customHeight="1" x14ac:dyDescent="0.35">
      <c r="A7" s="219"/>
      <c r="B7" s="260"/>
      <c r="C7" s="260"/>
      <c r="D7" s="260"/>
      <c r="E7" s="260"/>
      <c r="F7" s="260"/>
      <c r="G7" s="260"/>
      <c r="H7" s="260"/>
      <c r="I7" s="260"/>
      <c r="J7" s="260"/>
      <c r="K7" s="260"/>
      <c r="L7" s="260"/>
      <c r="M7" s="260"/>
      <c r="N7" s="260"/>
      <c r="O7" s="215"/>
      <c r="P7" s="215"/>
      <c r="Q7" s="215"/>
    </row>
    <row r="8" spans="1:17" ht="14.5" customHeight="1" x14ac:dyDescent="0.35">
      <c r="A8" s="219"/>
      <c r="B8" s="260"/>
      <c r="C8" s="260"/>
      <c r="D8" s="260"/>
      <c r="E8" s="260"/>
      <c r="F8" s="260"/>
      <c r="G8" s="260"/>
      <c r="H8" s="260"/>
      <c r="I8" s="260"/>
      <c r="J8" s="260"/>
      <c r="K8" s="260"/>
      <c r="L8" s="260"/>
      <c r="M8" s="260"/>
      <c r="N8" s="260"/>
      <c r="O8" s="215"/>
      <c r="P8" s="215"/>
      <c r="Q8" s="215"/>
    </row>
    <row r="9" spans="1:17" ht="14.5" customHeight="1" x14ac:dyDescent="0.35">
      <c r="A9" s="219"/>
      <c r="B9" s="260"/>
      <c r="C9" s="260"/>
      <c r="D9" s="260"/>
      <c r="E9" s="260"/>
      <c r="F9" s="260"/>
      <c r="G9" s="260"/>
      <c r="H9" s="260"/>
      <c r="I9" s="260"/>
      <c r="J9" s="260"/>
      <c r="K9" s="260"/>
      <c r="L9" s="260"/>
      <c r="M9" s="260"/>
      <c r="N9" s="260"/>
      <c r="O9" s="215"/>
      <c r="P9" s="215"/>
      <c r="Q9" s="215"/>
    </row>
    <row r="10" spans="1:17" ht="14.5" customHeight="1" x14ac:dyDescent="0.35">
      <c r="A10" s="219"/>
      <c r="B10" s="260"/>
      <c r="C10" s="260"/>
      <c r="D10" s="260"/>
      <c r="E10" s="260"/>
      <c r="F10" s="260"/>
      <c r="G10" s="260"/>
      <c r="H10" s="260"/>
      <c r="I10" s="260"/>
      <c r="J10" s="260"/>
      <c r="K10" s="260"/>
      <c r="L10" s="260"/>
      <c r="M10" s="260"/>
      <c r="N10" s="260"/>
      <c r="O10" s="215"/>
      <c r="P10" s="215"/>
      <c r="Q10" s="215"/>
    </row>
    <row r="11" spans="1:17" ht="14.5" customHeight="1" x14ac:dyDescent="0.35">
      <c r="A11" s="219"/>
      <c r="B11" s="261"/>
      <c r="C11" s="261"/>
      <c r="D11" s="261"/>
      <c r="E11" s="261"/>
      <c r="F11" s="261"/>
      <c r="G11" s="261"/>
      <c r="H11" s="261"/>
      <c r="I11" s="261"/>
      <c r="J11" s="261"/>
      <c r="K11" s="261"/>
      <c r="L11" s="261"/>
      <c r="M11" s="261"/>
      <c r="N11" s="261"/>
      <c r="O11" s="216"/>
      <c r="P11" s="216"/>
      <c r="Q11" s="216"/>
    </row>
    <row r="12" spans="1:17" x14ac:dyDescent="0.35">
      <c r="A12" s="219"/>
      <c r="B12" s="261"/>
      <c r="C12" s="261"/>
      <c r="D12" s="261"/>
      <c r="E12" s="261"/>
      <c r="F12" s="261"/>
      <c r="G12" s="261"/>
      <c r="H12" s="261"/>
      <c r="I12" s="261"/>
      <c r="J12" s="261"/>
      <c r="K12" s="261"/>
      <c r="L12" s="261"/>
      <c r="M12" s="261"/>
      <c r="N12" s="261"/>
      <c r="O12" s="216"/>
      <c r="P12" s="216"/>
      <c r="Q12" s="216"/>
    </row>
    <row r="13" spans="1:17" x14ac:dyDescent="0.35">
      <c r="A13" s="219"/>
      <c r="B13" s="261"/>
      <c r="C13" s="261"/>
      <c r="D13" s="261"/>
      <c r="E13" s="261"/>
      <c r="F13" s="261"/>
      <c r="G13" s="261"/>
      <c r="H13" s="261"/>
      <c r="I13" s="261"/>
      <c r="J13" s="261"/>
      <c r="K13" s="261"/>
      <c r="L13" s="261"/>
      <c r="M13" s="261"/>
      <c r="N13" s="261"/>
      <c r="O13" s="216"/>
      <c r="P13" s="216"/>
      <c r="Q13" s="216"/>
    </row>
    <row r="14" spans="1:17" x14ac:dyDescent="0.35">
      <c r="A14" s="219"/>
      <c r="B14" s="261"/>
      <c r="C14" s="261"/>
      <c r="D14" s="261"/>
      <c r="E14" s="261"/>
      <c r="F14" s="261"/>
      <c r="G14" s="261"/>
      <c r="H14" s="261"/>
      <c r="I14" s="261"/>
      <c r="J14" s="261"/>
      <c r="K14" s="261"/>
      <c r="L14" s="261"/>
      <c r="M14" s="261"/>
      <c r="N14" s="261"/>
      <c r="O14" s="216"/>
      <c r="P14" s="216"/>
      <c r="Q14" s="216"/>
    </row>
    <row r="15" spans="1:17" x14ac:dyDescent="0.35">
      <c r="A15" s="219"/>
      <c r="B15" s="261"/>
      <c r="C15" s="261"/>
      <c r="D15" s="261"/>
      <c r="E15" s="261"/>
      <c r="F15" s="261"/>
      <c r="G15" s="261"/>
      <c r="H15" s="261"/>
      <c r="I15" s="261"/>
      <c r="J15" s="261"/>
      <c r="K15" s="261"/>
      <c r="L15" s="261"/>
      <c r="M15" s="261"/>
      <c r="N15" s="261"/>
      <c r="O15" s="216"/>
      <c r="P15" s="216"/>
      <c r="Q15" s="216"/>
    </row>
    <row r="16" spans="1:17" x14ac:dyDescent="0.35">
      <c r="A16" s="219"/>
      <c r="B16" s="261"/>
      <c r="C16" s="261"/>
      <c r="D16" s="261"/>
      <c r="E16" s="261"/>
      <c r="F16" s="261"/>
      <c r="G16" s="261"/>
      <c r="H16" s="261"/>
      <c r="I16" s="261"/>
      <c r="J16" s="261"/>
      <c r="K16" s="261"/>
      <c r="L16" s="261"/>
      <c r="M16" s="261"/>
      <c r="N16" s="261"/>
      <c r="O16" s="216"/>
      <c r="P16" s="216"/>
      <c r="Q16" s="216"/>
    </row>
    <row r="17" spans="1:17" x14ac:dyDescent="0.35">
      <c r="A17" s="219"/>
      <c r="B17" s="261"/>
      <c r="C17" s="261"/>
      <c r="D17" s="261"/>
      <c r="E17" s="261"/>
      <c r="F17" s="261"/>
      <c r="G17" s="261"/>
      <c r="H17" s="261"/>
      <c r="I17" s="261"/>
      <c r="J17" s="261"/>
      <c r="K17" s="261"/>
      <c r="L17" s="261"/>
      <c r="M17" s="261"/>
      <c r="N17" s="261"/>
      <c r="O17" s="216"/>
      <c r="P17" s="216"/>
      <c r="Q17" s="216"/>
    </row>
    <row r="18" spans="1:17" x14ac:dyDescent="0.35">
      <c r="A18" s="219"/>
      <c r="B18" s="261"/>
      <c r="C18" s="261"/>
      <c r="D18" s="261"/>
      <c r="E18" s="261"/>
      <c r="F18" s="261"/>
      <c r="G18" s="261"/>
      <c r="H18" s="261"/>
      <c r="I18" s="261"/>
      <c r="J18" s="261"/>
      <c r="K18" s="261"/>
      <c r="L18" s="261"/>
      <c r="M18" s="261"/>
      <c r="N18" s="261"/>
      <c r="O18" s="216"/>
      <c r="P18" s="216"/>
      <c r="Q18" s="216"/>
    </row>
    <row r="19" spans="1:17" x14ac:dyDescent="0.35">
      <c r="A19" s="219"/>
      <c r="B19" s="261"/>
      <c r="C19" s="261"/>
      <c r="D19" s="261"/>
      <c r="E19" s="261"/>
      <c r="F19" s="261"/>
      <c r="G19" s="261"/>
      <c r="H19" s="261"/>
      <c r="I19" s="261"/>
      <c r="J19" s="261"/>
      <c r="K19" s="261"/>
      <c r="L19" s="261"/>
      <c r="M19" s="261"/>
      <c r="N19" s="261"/>
      <c r="O19" s="216"/>
      <c r="P19" s="216"/>
      <c r="Q19" s="216"/>
    </row>
    <row r="20" spans="1:17" x14ac:dyDescent="0.35">
      <c r="A20" s="219"/>
      <c r="B20" s="261"/>
      <c r="C20" s="261"/>
      <c r="D20" s="261"/>
      <c r="E20" s="261"/>
      <c r="F20" s="261"/>
      <c r="G20" s="261"/>
      <c r="H20" s="261"/>
      <c r="I20" s="261"/>
      <c r="J20" s="261"/>
      <c r="K20" s="261"/>
      <c r="L20" s="261"/>
      <c r="M20" s="261"/>
      <c r="N20" s="261"/>
      <c r="O20" s="216"/>
      <c r="P20" s="216"/>
      <c r="Q20" s="216"/>
    </row>
    <row r="21" spans="1:17" x14ac:dyDescent="0.35">
      <c r="A21" s="219"/>
      <c r="B21" s="261"/>
      <c r="C21" s="261"/>
      <c r="D21" s="261"/>
      <c r="E21" s="261"/>
      <c r="F21" s="261"/>
      <c r="G21" s="261"/>
      <c r="H21" s="261"/>
      <c r="I21" s="261"/>
      <c r="J21" s="261"/>
      <c r="K21" s="261"/>
      <c r="L21" s="261"/>
      <c r="M21" s="261"/>
      <c r="N21" s="261"/>
      <c r="O21" s="216"/>
      <c r="P21" s="216"/>
      <c r="Q21" s="216"/>
    </row>
    <row r="22" spans="1:17" x14ac:dyDescent="0.35">
      <c r="A22" s="219"/>
      <c r="B22" s="261"/>
      <c r="C22" s="261"/>
      <c r="D22" s="261"/>
      <c r="E22" s="261"/>
      <c r="F22" s="261"/>
      <c r="G22" s="261"/>
      <c r="H22" s="261"/>
      <c r="I22" s="261"/>
      <c r="J22" s="261"/>
      <c r="K22" s="261"/>
      <c r="L22" s="261"/>
      <c r="M22" s="261"/>
      <c r="N22" s="261"/>
      <c r="O22" s="216"/>
      <c r="P22" s="216"/>
      <c r="Q22" s="216"/>
    </row>
    <row r="23" spans="1:17" x14ac:dyDescent="0.35">
      <c r="A23" s="219"/>
      <c r="B23" s="261"/>
      <c r="C23" s="261"/>
      <c r="D23" s="261"/>
      <c r="E23" s="261"/>
      <c r="F23" s="261"/>
      <c r="G23" s="261"/>
      <c r="H23" s="261"/>
      <c r="I23" s="261"/>
      <c r="J23" s="261"/>
      <c r="K23" s="261"/>
      <c r="L23" s="261"/>
      <c r="M23" s="261"/>
      <c r="N23" s="261"/>
      <c r="O23" s="216"/>
      <c r="P23" s="216"/>
      <c r="Q23" s="216"/>
    </row>
    <row r="24" spans="1:17" x14ac:dyDescent="0.35">
      <c r="A24" s="219"/>
      <c r="B24" s="261"/>
      <c r="C24" s="261"/>
      <c r="D24" s="261"/>
      <c r="E24" s="261"/>
      <c r="F24" s="261"/>
      <c r="G24" s="261"/>
      <c r="H24" s="261"/>
      <c r="I24" s="261"/>
      <c r="J24" s="261"/>
      <c r="K24" s="261"/>
      <c r="L24" s="261"/>
      <c r="M24" s="261"/>
      <c r="N24" s="261"/>
      <c r="O24" s="216"/>
      <c r="P24" s="216"/>
      <c r="Q24" s="216"/>
    </row>
    <row r="25" spans="1:17" x14ac:dyDescent="0.35">
      <c r="A25" s="219"/>
      <c r="B25" s="261"/>
      <c r="C25" s="261"/>
      <c r="D25" s="261"/>
      <c r="E25" s="261"/>
      <c r="F25" s="261"/>
      <c r="G25" s="261"/>
      <c r="H25" s="261"/>
      <c r="I25" s="261"/>
      <c r="J25" s="261"/>
      <c r="K25" s="261"/>
      <c r="L25" s="261"/>
      <c r="M25" s="261"/>
      <c r="N25" s="261"/>
      <c r="O25" s="216"/>
      <c r="P25" s="216"/>
      <c r="Q25" s="216"/>
    </row>
    <row r="26" spans="1:17" x14ac:dyDescent="0.35">
      <c r="A26" s="219"/>
      <c r="B26" s="261"/>
      <c r="C26" s="261"/>
      <c r="D26" s="261"/>
      <c r="E26" s="261"/>
      <c r="F26" s="261"/>
      <c r="G26" s="261"/>
      <c r="H26" s="261"/>
      <c r="I26" s="261"/>
      <c r="J26" s="261"/>
      <c r="K26" s="261"/>
      <c r="L26" s="261"/>
      <c r="M26" s="261"/>
      <c r="N26" s="261"/>
      <c r="O26" s="216"/>
      <c r="P26" s="216"/>
      <c r="Q26" s="216"/>
    </row>
    <row r="27" spans="1:17" x14ac:dyDescent="0.35">
      <c r="A27" s="219"/>
      <c r="B27" s="261"/>
      <c r="C27" s="261"/>
      <c r="D27" s="261"/>
      <c r="E27" s="261"/>
      <c r="F27" s="261"/>
      <c r="G27" s="261"/>
      <c r="H27" s="261"/>
      <c r="I27" s="261"/>
      <c r="J27" s="261"/>
      <c r="K27" s="261"/>
      <c r="L27" s="261"/>
      <c r="M27" s="261"/>
      <c r="N27" s="261"/>
      <c r="O27" s="216"/>
      <c r="P27" s="216"/>
      <c r="Q27" s="216"/>
    </row>
    <row r="28" spans="1:17" x14ac:dyDescent="0.35">
      <c r="B28" s="216"/>
      <c r="C28" s="216"/>
      <c r="D28" s="216"/>
      <c r="E28" s="216"/>
      <c r="F28" s="216"/>
      <c r="G28" s="216"/>
      <c r="H28" s="216"/>
      <c r="I28" s="216"/>
      <c r="J28" s="216"/>
      <c r="K28" s="216"/>
      <c r="L28" s="216"/>
      <c r="M28" s="216"/>
      <c r="N28" s="216"/>
      <c r="O28" s="216"/>
      <c r="P28" s="216"/>
      <c r="Q28" s="216"/>
    </row>
    <row r="29" spans="1:17" x14ac:dyDescent="0.35">
      <c r="B29" s="216"/>
      <c r="C29" s="216"/>
      <c r="D29" s="216"/>
      <c r="E29" s="216"/>
      <c r="F29" s="216"/>
      <c r="G29" s="216"/>
      <c r="H29" s="216"/>
      <c r="I29" s="216"/>
      <c r="J29" s="216"/>
      <c r="K29" s="216"/>
      <c r="L29" s="216"/>
      <c r="M29" s="216"/>
      <c r="N29" s="216"/>
      <c r="O29" s="216"/>
      <c r="P29" s="216"/>
      <c r="Q29" s="216"/>
    </row>
    <row r="30" spans="1:17" x14ac:dyDescent="0.35">
      <c r="B30" s="216"/>
      <c r="C30" s="216"/>
      <c r="D30" s="216"/>
      <c r="E30" s="216"/>
      <c r="F30" s="216"/>
      <c r="G30" s="216"/>
      <c r="H30" s="216"/>
      <c r="I30" s="216"/>
      <c r="J30" s="216"/>
      <c r="K30" s="216"/>
      <c r="L30" s="216"/>
      <c r="M30" s="216"/>
      <c r="N30" s="216"/>
      <c r="O30" s="216"/>
      <c r="P30" s="216"/>
      <c r="Q30" s="216"/>
    </row>
    <row r="100" spans="2:9" x14ac:dyDescent="0.35">
      <c r="B100" s="3" t="s">
        <v>335</v>
      </c>
      <c r="I100" s="9" t="s">
        <v>98</v>
      </c>
    </row>
  </sheetData>
  <mergeCells count="2">
    <mergeCell ref="A1:Q1"/>
    <mergeCell ref="A2:B2"/>
  </mergeCells>
  <hyperlinks>
    <hyperlink ref="A2" location="Home!A1" display="Go to Home" xr:uid="{280094D6-404D-4FB7-8C08-4BD06F15E00E}"/>
    <hyperlink ref="I100" location="References!A1" display="Go to References" xr:uid="{447D423C-66BD-47E9-935B-2CB50E3B7A02}"/>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84F0-2ECC-45A5-8417-1F59C7F885C5}">
  <dimension ref="A1:R45"/>
  <sheetViews>
    <sheetView zoomScale="65" zoomScaleNormal="65" zoomScaleSheetLayoutView="50" workbookViewId="0">
      <pane ySplit="4" topLeftCell="A5" activePane="bottomLeft" state="frozen"/>
      <selection pane="bottomLeft" activeCell="A3" sqref="A3"/>
    </sheetView>
  </sheetViews>
  <sheetFormatPr defaultRowHeight="14.5" x14ac:dyDescent="0.35"/>
  <cols>
    <col min="1" max="7" width="16.6328125" customWidth="1"/>
    <col min="8" max="8" width="3.90625" customWidth="1"/>
    <col min="9" max="17" width="16.6328125" customWidth="1"/>
  </cols>
  <sheetData>
    <row r="1" spans="1:16" ht="20" thickBot="1" x14ac:dyDescent="0.5">
      <c r="A1" s="834" t="s">
        <v>18</v>
      </c>
      <c r="B1" s="834"/>
      <c r="C1" s="834"/>
      <c r="D1" s="834"/>
      <c r="E1" s="834"/>
      <c r="F1" s="834"/>
      <c r="G1" s="834"/>
      <c r="H1" s="834"/>
      <c r="I1" s="834"/>
      <c r="J1" s="834"/>
      <c r="K1" s="834"/>
      <c r="L1" s="834"/>
      <c r="M1" s="834"/>
      <c r="N1" s="834"/>
      <c r="O1" s="834"/>
      <c r="P1" s="834"/>
    </row>
    <row r="2" spans="1:16" ht="15" thickTop="1" x14ac:dyDescent="0.35">
      <c r="A2" s="218" t="s">
        <v>35</v>
      </c>
      <c r="B2" s="219"/>
      <c r="C2" s="219"/>
      <c r="D2" s="219"/>
      <c r="E2" s="219"/>
      <c r="F2" s="219"/>
      <c r="G2" s="219"/>
      <c r="H2" s="219"/>
      <c r="I2" s="219"/>
      <c r="J2" s="219"/>
      <c r="K2" s="219"/>
      <c r="L2" s="219"/>
      <c r="M2" s="219"/>
      <c r="N2" s="219"/>
      <c r="O2" s="219"/>
    </row>
    <row r="3" spans="1:16" x14ac:dyDescent="0.35">
      <c r="A3" s="220" t="s">
        <v>109</v>
      </c>
      <c r="B3" s="219"/>
      <c r="C3" s="219"/>
      <c r="D3" s="219"/>
      <c r="E3" s="219"/>
      <c r="F3" s="219"/>
      <c r="G3" s="219"/>
      <c r="H3" s="219"/>
      <c r="I3" s="219"/>
      <c r="J3" s="219"/>
      <c r="K3" s="219"/>
      <c r="L3" s="219"/>
      <c r="M3" s="219"/>
      <c r="N3" s="219"/>
      <c r="O3" s="219"/>
    </row>
    <row r="4" spans="1:16" x14ac:dyDescent="0.35">
      <c r="A4" s="255" t="s">
        <v>257</v>
      </c>
      <c r="B4" s="255"/>
      <c r="C4" s="255"/>
      <c r="D4" s="255"/>
      <c r="E4" s="255"/>
      <c r="F4" s="255"/>
      <c r="G4" s="219"/>
      <c r="H4" s="219"/>
      <c r="I4" s="219"/>
      <c r="J4" s="219"/>
      <c r="K4" s="219"/>
      <c r="L4" s="219"/>
      <c r="M4" s="219"/>
      <c r="N4" s="219"/>
      <c r="O4" s="219"/>
    </row>
    <row r="5" spans="1:16" x14ac:dyDescent="0.35">
      <c r="A5" s="219"/>
      <c r="B5" s="219"/>
      <c r="C5" s="219"/>
      <c r="D5" s="219"/>
      <c r="E5" s="219"/>
      <c r="F5" s="219"/>
      <c r="G5" s="219"/>
      <c r="H5" s="219"/>
      <c r="I5" s="219"/>
      <c r="J5" s="219"/>
      <c r="K5" s="219"/>
      <c r="L5" s="219"/>
      <c r="M5" s="219"/>
      <c r="N5" s="219"/>
      <c r="O5" s="219"/>
    </row>
    <row r="6" spans="1:16" x14ac:dyDescent="0.35">
      <c r="A6" s="267" t="s">
        <v>286</v>
      </c>
      <c r="B6" s="257"/>
      <c r="C6" s="257"/>
      <c r="D6" s="219"/>
      <c r="E6" s="622"/>
      <c r="F6" s="219"/>
      <c r="G6" s="219"/>
      <c r="H6" s="219"/>
      <c r="I6" s="267" t="s">
        <v>294</v>
      </c>
      <c r="J6" s="257"/>
      <c r="K6" s="219"/>
      <c r="L6" s="219"/>
      <c r="M6" s="219"/>
      <c r="N6" s="219"/>
      <c r="O6" s="219"/>
    </row>
    <row r="7" spans="1:16" x14ac:dyDescent="0.35">
      <c r="A7" s="256" t="s">
        <v>284</v>
      </c>
      <c r="B7" s="256"/>
      <c r="C7" s="618">
        <v>0.04</v>
      </c>
      <c r="D7" s="219"/>
      <c r="E7" s="622"/>
      <c r="F7" s="219"/>
      <c r="G7" s="219"/>
      <c r="H7" s="219"/>
      <c r="I7" s="256" t="s">
        <v>284</v>
      </c>
      <c r="J7" s="637">
        <v>1.4999999999999999E-2</v>
      </c>
      <c r="K7" s="653"/>
      <c r="M7" s="219"/>
      <c r="N7" s="219"/>
      <c r="O7" s="219"/>
    </row>
    <row r="8" spans="1:16" x14ac:dyDescent="0.35">
      <c r="A8" s="256" t="s">
        <v>289</v>
      </c>
      <c r="B8" s="256"/>
      <c r="C8" s="618">
        <v>0.02</v>
      </c>
      <c r="D8" s="219"/>
      <c r="E8" s="219"/>
      <c r="F8" s="219"/>
      <c r="G8" s="219"/>
      <c r="H8" s="219"/>
      <c r="I8" s="7" t="s">
        <v>345</v>
      </c>
      <c r="J8" s="651">
        <v>0.02</v>
      </c>
      <c r="K8" s="654"/>
      <c r="M8" s="219"/>
      <c r="N8" s="219"/>
      <c r="O8" s="219"/>
    </row>
    <row r="9" spans="1:16" x14ac:dyDescent="0.35">
      <c r="A9" s="256" t="s">
        <v>285</v>
      </c>
      <c r="B9" s="256"/>
      <c r="C9" s="652">
        <v>906714.2</v>
      </c>
      <c r="D9" s="219"/>
      <c r="E9" s="219"/>
      <c r="F9" s="219"/>
      <c r="G9" s="219"/>
      <c r="H9" s="219"/>
      <c r="I9" s="256" t="s">
        <v>285</v>
      </c>
      <c r="J9" s="652">
        <v>906714.2</v>
      </c>
      <c r="K9" s="219"/>
      <c r="M9" s="219"/>
      <c r="N9" s="219"/>
      <c r="O9" s="219"/>
    </row>
    <row r="10" spans="1:16" x14ac:dyDescent="0.35">
      <c r="A10" s="256" t="s">
        <v>288</v>
      </c>
      <c r="B10" s="256"/>
      <c r="C10" s="383">
        <v>21025.200000000001</v>
      </c>
      <c r="D10" s="219"/>
      <c r="E10" s="219"/>
      <c r="F10" s="622"/>
      <c r="G10" s="219"/>
      <c r="H10" s="219"/>
      <c r="I10" s="256" t="s">
        <v>288</v>
      </c>
      <c r="J10" s="383">
        <v>21025.200000000001</v>
      </c>
      <c r="K10" s="219"/>
      <c r="L10" s="219"/>
      <c r="M10" s="219"/>
      <c r="N10" s="219"/>
      <c r="O10" s="219"/>
    </row>
    <row r="11" spans="1:16" ht="15" thickBot="1" x14ac:dyDescent="0.4">
      <c r="A11" s="219"/>
      <c r="B11" s="219"/>
      <c r="C11" s="219"/>
      <c r="D11" s="219"/>
      <c r="E11" s="219"/>
      <c r="F11" s="219"/>
      <c r="G11" s="219"/>
      <c r="H11" s="219"/>
    </row>
    <row r="12" spans="1:16" ht="44" thickBot="1" x14ac:dyDescent="0.4">
      <c r="A12" s="658" t="s">
        <v>101</v>
      </c>
      <c r="B12" s="673" t="s">
        <v>347</v>
      </c>
      <c r="C12" s="660" t="s">
        <v>293</v>
      </c>
      <c r="D12" s="660" t="s">
        <v>291</v>
      </c>
      <c r="E12" s="659" t="s">
        <v>287</v>
      </c>
      <c r="F12" s="661" t="s">
        <v>290</v>
      </c>
      <c r="G12" s="663" t="s">
        <v>292</v>
      </c>
      <c r="H12" s="219"/>
      <c r="I12" s="658" t="s">
        <v>101</v>
      </c>
      <c r="J12" s="673" t="s">
        <v>346</v>
      </c>
      <c r="K12" s="659" t="s">
        <v>356</v>
      </c>
      <c r="L12" s="660" t="s">
        <v>293</v>
      </c>
      <c r="M12" s="660" t="s">
        <v>291</v>
      </c>
      <c r="N12" s="659" t="s">
        <v>287</v>
      </c>
      <c r="O12" s="661" t="s">
        <v>290</v>
      </c>
      <c r="P12" s="662" t="s">
        <v>292</v>
      </c>
    </row>
    <row r="13" spans="1:16" x14ac:dyDescent="0.35">
      <c r="A13" s="634">
        <v>2019</v>
      </c>
      <c r="B13" s="502">
        <f>C9*1.04</f>
        <v>942982.76800000004</v>
      </c>
      <c r="C13" s="627">
        <v>0.02</v>
      </c>
      <c r="D13" s="628">
        <v>0.99</v>
      </c>
      <c r="E13" s="629">
        <f>C10*1.02</f>
        <v>21445.704000000002</v>
      </c>
      <c r="F13" s="630">
        <f>E13/D13</f>
        <v>21662.327272727274</v>
      </c>
      <c r="G13" s="655">
        <f>F13/B13</f>
        <v>2.2972134812889046E-2</v>
      </c>
      <c r="H13" s="219"/>
      <c r="I13" s="634">
        <v>2019</v>
      </c>
      <c r="J13" s="502">
        <f>J9*1.015</f>
        <v>920314.91299999983</v>
      </c>
      <c r="K13" s="664">
        <f>J9*1.02</f>
        <v>924848.48399999994</v>
      </c>
      <c r="L13" s="635">
        <v>0.05</v>
      </c>
      <c r="M13" s="628">
        <v>0.99</v>
      </c>
      <c r="N13" s="629">
        <f>J10*1.05</f>
        <v>22076.460000000003</v>
      </c>
      <c r="O13" s="630">
        <f>N13/M13</f>
        <v>22299.454545454548</v>
      </c>
      <c r="P13" s="655">
        <f>O13/J13</f>
        <v>2.4230243616029018E-2</v>
      </c>
    </row>
    <row r="14" spans="1:16" x14ac:dyDescent="0.35">
      <c r="A14" s="632">
        <v>2020</v>
      </c>
      <c r="B14" s="508">
        <f>B13*1.04</f>
        <v>980702.07872000011</v>
      </c>
      <c r="C14" s="619">
        <v>0.02</v>
      </c>
      <c r="D14" s="258">
        <v>0.98</v>
      </c>
      <c r="E14" s="441">
        <f>E13*1.02</f>
        <v>21874.61808</v>
      </c>
      <c r="F14" s="621">
        <f t="shared" ref="F14:F17" si="0">E14/D14</f>
        <v>22321.038857142859</v>
      </c>
      <c r="G14" s="656">
        <f>F14/B14</f>
        <v>2.2760264652723072E-2</v>
      </c>
      <c r="H14" s="219"/>
      <c r="I14" s="632">
        <v>2020</v>
      </c>
      <c r="J14" s="508">
        <f>J13*1.015</f>
        <v>934119.63669499976</v>
      </c>
      <c r="K14" s="665">
        <f>K13*1.02</f>
        <v>943345.45367999992</v>
      </c>
      <c r="L14" s="620">
        <v>-0.1</v>
      </c>
      <c r="M14" s="258">
        <v>0.98</v>
      </c>
      <c r="N14" s="441">
        <f>N13*0.9</f>
        <v>19868.814000000002</v>
      </c>
      <c r="O14" s="621">
        <f t="shared" ref="O14:O17" si="1">N14/M14</f>
        <v>20274.300000000003</v>
      </c>
      <c r="P14" s="656">
        <f t="shared" ref="P14:P17" si="2">O14/J14</f>
        <v>2.1704179211703888E-2</v>
      </c>
    </row>
    <row r="15" spans="1:16" x14ac:dyDescent="0.35">
      <c r="A15" s="632">
        <v>2021</v>
      </c>
      <c r="B15" s="508">
        <f>B14*1.04</f>
        <v>1019930.1618688002</v>
      </c>
      <c r="C15" s="619">
        <v>0.02</v>
      </c>
      <c r="D15" s="258">
        <v>0.97</v>
      </c>
      <c r="E15" s="441">
        <f t="shared" ref="E15:E17" si="3">E14*1.02</f>
        <v>22312.110441600002</v>
      </c>
      <c r="F15" s="621">
        <f t="shared" si="0"/>
        <v>23002.175712989694</v>
      </c>
      <c r="G15" s="656">
        <f>F15/B15</f>
        <v>2.2552696814890943E-2</v>
      </c>
      <c r="H15" s="219"/>
      <c r="I15" s="632">
        <v>2021</v>
      </c>
      <c r="J15" s="508">
        <f t="shared" ref="J15:J17" si="4">J14*1.015</f>
        <v>948131.43124542467</v>
      </c>
      <c r="K15" s="665">
        <f t="shared" ref="K15:K17" si="5">K14*1.02</f>
        <v>962212.36275359988</v>
      </c>
      <c r="L15" s="620">
        <v>-0.14000000000000001</v>
      </c>
      <c r="M15" s="258">
        <v>0.97</v>
      </c>
      <c r="N15" s="441">
        <f>N14*0.86</f>
        <v>17087.180040000003</v>
      </c>
      <c r="O15" s="621">
        <f t="shared" si="1"/>
        <v>17615.649525773199</v>
      </c>
      <c r="P15" s="656">
        <f t="shared" si="2"/>
        <v>1.8579332933445776E-2</v>
      </c>
    </row>
    <row r="16" spans="1:16" x14ac:dyDescent="0.35">
      <c r="A16" s="632">
        <v>2022</v>
      </c>
      <c r="B16" s="508">
        <f>B15*1.04</f>
        <v>1060727.3683435521</v>
      </c>
      <c r="C16" s="619">
        <v>0.02</v>
      </c>
      <c r="D16" s="258">
        <v>0.96</v>
      </c>
      <c r="E16" s="441">
        <f t="shared" si="3"/>
        <v>22758.352650432003</v>
      </c>
      <c r="F16" s="621">
        <f t="shared" si="0"/>
        <v>23706.617344200004</v>
      </c>
      <c r="G16" s="656">
        <f>F16/B16</f>
        <v>2.2349397264275941E-2</v>
      </c>
      <c r="H16" s="219"/>
      <c r="I16" s="632">
        <v>2022</v>
      </c>
      <c r="J16" s="508">
        <f t="shared" si="4"/>
        <v>962353.40271410591</v>
      </c>
      <c r="K16" s="665">
        <f t="shared" si="5"/>
        <v>981456.61000867188</v>
      </c>
      <c r="L16" s="620">
        <v>0.08</v>
      </c>
      <c r="M16" s="258">
        <v>0.96</v>
      </c>
      <c r="N16" s="441">
        <f>N15*1.08</f>
        <v>18454.154443200005</v>
      </c>
      <c r="O16" s="621">
        <f t="shared" si="1"/>
        <v>19223.077545000004</v>
      </c>
      <c r="P16" s="656">
        <f t="shared" si="2"/>
        <v>1.9975070998643062E-2</v>
      </c>
    </row>
    <row r="17" spans="1:18" ht="15" thickBot="1" x14ac:dyDescent="0.4">
      <c r="A17" s="633">
        <v>2023</v>
      </c>
      <c r="B17" s="636">
        <f>B16*1.04</f>
        <v>1103156.4630772942</v>
      </c>
      <c r="C17" s="623">
        <v>0.02</v>
      </c>
      <c r="D17" s="624">
        <v>0.95</v>
      </c>
      <c r="E17" s="625">
        <f t="shared" si="3"/>
        <v>23213.519703440645</v>
      </c>
      <c r="F17" s="626">
        <f t="shared" si="0"/>
        <v>24435.283898358575</v>
      </c>
      <c r="G17" s="657">
        <f>F17/B17</f>
        <v>2.2150333806861343E-2</v>
      </c>
      <c r="H17" s="219"/>
      <c r="I17" s="633">
        <v>2023</v>
      </c>
      <c r="J17" s="636">
        <f t="shared" si="4"/>
        <v>976788.70375481737</v>
      </c>
      <c r="K17" s="666">
        <f t="shared" si="5"/>
        <v>1001085.7422088453</v>
      </c>
      <c r="L17" s="631">
        <v>0.05</v>
      </c>
      <c r="M17" s="624">
        <v>0.95</v>
      </c>
      <c r="N17" s="625">
        <f>N16*1.05</f>
        <v>19376.862165360006</v>
      </c>
      <c r="O17" s="626">
        <f t="shared" si="1"/>
        <v>20396.697016168429</v>
      </c>
      <c r="P17" s="657">
        <f t="shared" si="2"/>
        <v>2.0881380935060631E-2</v>
      </c>
    </row>
    <row r="18" spans="1:18" x14ac:dyDescent="0.35">
      <c r="A18" s="219"/>
      <c r="B18" s="219"/>
      <c r="C18" s="219"/>
      <c r="D18" s="219"/>
      <c r="E18" s="219"/>
      <c r="F18" s="219"/>
      <c r="G18" s="219"/>
      <c r="H18" s="219"/>
      <c r="R18" s="7"/>
    </row>
    <row r="19" spans="1:18" x14ac:dyDescent="0.35">
      <c r="A19" s="219"/>
      <c r="B19" s="219"/>
      <c r="C19" s="219"/>
      <c r="D19" s="219"/>
      <c r="E19" s="219"/>
      <c r="F19" s="219"/>
      <c r="G19" s="219"/>
      <c r="H19" s="219"/>
      <c r="I19" s="219"/>
      <c r="J19" s="219"/>
      <c r="K19" s="219"/>
      <c r="L19" s="219"/>
      <c r="M19" s="219"/>
      <c r="N19" s="219"/>
      <c r="O19" s="219"/>
    </row>
    <row r="20" spans="1:18" x14ac:dyDescent="0.35">
      <c r="A20" s="219"/>
      <c r="B20" s="219"/>
      <c r="C20" s="219"/>
      <c r="D20" s="219"/>
      <c r="E20" s="219"/>
      <c r="F20" s="219"/>
      <c r="G20" s="219"/>
      <c r="H20" s="219"/>
      <c r="I20" s="219"/>
      <c r="J20" s="219"/>
      <c r="K20" s="219"/>
      <c r="L20" s="219"/>
      <c r="M20" s="219"/>
      <c r="N20" s="219"/>
      <c r="O20" s="219"/>
    </row>
    <row r="21" spans="1:18" x14ac:dyDescent="0.35">
      <c r="A21" s="219"/>
      <c r="B21" s="219"/>
      <c r="C21" s="219"/>
      <c r="D21" s="219"/>
      <c r="E21" s="219"/>
      <c r="F21" s="219"/>
      <c r="G21" s="219"/>
      <c r="H21" s="219"/>
      <c r="I21" s="219"/>
      <c r="J21" s="219"/>
      <c r="K21" s="219"/>
      <c r="L21" s="219"/>
      <c r="M21" s="219"/>
      <c r="N21" s="219"/>
      <c r="O21" s="219"/>
    </row>
    <row r="22" spans="1:18" x14ac:dyDescent="0.35">
      <c r="A22" s="219"/>
      <c r="B22" s="219"/>
      <c r="C22" s="219"/>
      <c r="D22" s="219"/>
      <c r="E22" s="219"/>
      <c r="F22" s="219"/>
      <c r="G22" s="219"/>
      <c r="H22" s="219"/>
      <c r="I22" s="219"/>
      <c r="J22" s="219"/>
      <c r="K22" s="219"/>
      <c r="L22" s="219"/>
      <c r="M22" s="219"/>
      <c r="N22" s="219"/>
      <c r="O22" s="219"/>
    </row>
    <row r="23" spans="1:18" x14ac:dyDescent="0.35">
      <c r="A23" s="219"/>
      <c r="B23" s="219"/>
      <c r="C23" s="219"/>
      <c r="D23" s="219"/>
      <c r="E23" s="219"/>
      <c r="F23" s="219"/>
      <c r="G23" s="219"/>
      <c r="H23" s="219"/>
      <c r="I23" s="219"/>
      <c r="J23" s="219"/>
      <c r="K23" s="219"/>
      <c r="L23" s="219"/>
      <c r="M23" s="219"/>
      <c r="N23" s="219"/>
      <c r="O23" s="219"/>
    </row>
    <row r="24" spans="1:18" x14ac:dyDescent="0.35">
      <c r="A24" s="219"/>
      <c r="B24" s="219"/>
      <c r="C24" s="219"/>
      <c r="D24" s="219"/>
      <c r="E24" s="219"/>
      <c r="F24" s="219"/>
      <c r="G24" s="219"/>
      <c r="H24" s="219"/>
      <c r="I24" s="219"/>
      <c r="J24" s="219"/>
      <c r="K24" s="219"/>
      <c r="L24" s="219"/>
      <c r="M24" s="219"/>
      <c r="N24" s="219"/>
      <c r="O24" s="219"/>
    </row>
    <row r="25" spans="1:18" x14ac:dyDescent="0.35">
      <c r="A25" s="219"/>
      <c r="B25" s="219"/>
      <c r="C25" s="219"/>
      <c r="D25" s="219"/>
      <c r="E25" s="219"/>
      <c r="F25" s="219"/>
      <c r="G25" s="219"/>
      <c r="H25" s="219"/>
      <c r="I25" s="219"/>
      <c r="J25" s="219"/>
      <c r="K25" s="219"/>
      <c r="L25" s="219"/>
      <c r="M25" s="219"/>
      <c r="N25" s="219"/>
      <c r="O25" s="219"/>
    </row>
    <row r="26" spans="1:18" x14ac:dyDescent="0.35">
      <c r="A26" s="219"/>
      <c r="B26" s="219"/>
      <c r="C26" s="219"/>
      <c r="D26" s="219"/>
      <c r="E26" s="219"/>
      <c r="F26" s="219"/>
      <c r="G26" s="219"/>
      <c r="H26" s="219"/>
      <c r="I26" s="219"/>
      <c r="J26" s="219"/>
      <c r="K26" s="219"/>
      <c r="L26" s="219"/>
      <c r="M26" s="219"/>
      <c r="N26" s="219"/>
      <c r="O26" s="219"/>
    </row>
    <row r="27" spans="1:18" x14ac:dyDescent="0.35">
      <c r="I27" s="219"/>
      <c r="J27" s="219"/>
      <c r="K27" s="219"/>
      <c r="L27" s="219"/>
      <c r="M27" s="219"/>
      <c r="N27" s="219"/>
      <c r="O27" s="219"/>
    </row>
    <row r="38" spans="1:16" x14ac:dyDescent="0.35">
      <c r="A38" s="27" t="s">
        <v>344</v>
      </c>
      <c r="B38" s="3"/>
      <c r="C38" s="3"/>
      <c r="D38" s="3"/>
      <c r="E38" s="3"/>
      <c r="F38" s="3"/>
      <c r="G38" s="3"/>
      <c r="H38" s="3"/>
      <c r="I38" s="3"/>
      <c r="J38" s="3"/>
      <c r="K38" s="3"/>
      <c r="L38" s="3"/>
      <c r="M38" s="3"/>
    </row>
    <row r="39" spans="1:16" x14ac:dyDescent="0.35">
      <c r="A39" s="876" t="s">
        <v>349</v>
      </c>
      <c r="B39" s="876"/>
      <c r="C39" s="876"/>
      <c r="D39" s="876"/>
      <c r="E39" s="876"/>
      <c r="F39" s="876"/>
      <c r="G39" s="876"/>
      <c r="H39" s="876"/>
      <c r="I39" s="876"/>
      <c r="J39" s="876"/>
      <c r="K39" s="876"/>
      <c r="L39" s="876"/>
      <c r="M39" s="876"/>
      <c r="N39" s="876"/>
      <c r="O39" s="876"/>
      <c r="P39" s="876"/>
    </row>
    <row r="40" spans="1:16" x14ac:dyDescent="0.35">
      <c r="A40" s="876"/>
      <c r="B40" s="876"/>
      <c r="C40" s="876"/>
      <c r="D40" s="876"/>
      <c r="E40" s="876"/>
      <c r="F40" s="876"/>
      <c r="G40" s="876"/>
      <c r="H40" s="876"/>
      <c r="I40" s="876"/>
      <c r="J40" s="876"/>
      <c r="K40" s="876"/>
      <c r="L40" s="876"/>
      <c r="M40" s="876"/>
      <c r="N40" s="876"/>
      <c r="O40" s="876"/>
      <c r="P40" s="876"/>
    </row>
    <row r="41" spans="1:16" x14ac:dyDescent="0.35">
      <c r="A41" s="876"/>
      <c r="B41" s="876"/>
      <c r="C41" s="876"/>
      <c r="D41" s="876"/>
      <c r="E41" s="876"/>
      <c r="F41" s="876"/>
      <c r="G41" s="876"/>
      <c r="H41" s="876"/>
      <c r="I41" s="876"/>
      <c r="J41" s="876"/>
      <c r="K41" s="876"/>
      <c r="L41" s="876"/>
      <c r="M41" s="876"/>
      <c r="N41" s="876"/>
      <c r="O41" s="876"/>
      <c r="P41" s="876"/>
    </row>
    <row r="45" spans="1:16" ht="14.5" customHeight="1" x14ac:dyDescent="0.35"/>
  </sheetData>
  <mergeCells count="2">
    <mergeCell ref="A1:P1"/>
    <mergeCell ref="A39:P41"/>
  </mergeCells>
  <hyperlinks>
    <hyperlink ref="A2" location="Home!A1" display="Go to Home" xr:uid="{67E60906-6B85-412C-866C-7983BFC479CB}"/>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AFEC3-51C1-4B35-9345-E981009AA142}">
  <dimension ref="A1:O58"/>
  <sheetViews>
    <sheetView zoomScaleNormal="100" workbookViewId="0">
      <pane ySplit="2" topLeftCell="A3" activePane="bottomLeft" state="frozen"/>
      <selection pane="bottomLeft" activeCell="B59" sqref="B59"/>
    </sheetView>
  </sheetViews>
  <sheetFormatPr defaultRowHeight="14.5" x14ac:dyDescent="0.35"/>
  <cols>
    <col min="1" max="1" width="17.453125" customWidth="1"/>
    <col min="2" max="2" width="120.90625" bestFit="1" customWidth="1"/>
  </cols>
  <sheetData>
    <row r="1" spans="1:15" ht="20" thickBot="1" x14ac:dyDescent="0.5">
      <c r="A1" s="875" t="s">
        <v>97</v>
      </c>
      <c r="B1" s="875"/>
      <c r="C1" s="875"/>
      <c r="D1" s="219"/>
      <c r="E1" s="219"/>
      <c r="F1" s="219"/>
      <c r="G1" s="219"/>
      <c r="H1" s="219"/>
      <c r="I1" s="219"/>
      <c r="J1" s="219"/>
      <c r="K1" s="219"/>
      <c r="L1" s="219"/>
      <c r="M1" s="219"/>
      <c r="N1" s="219"/>
      <c r="O1" s="219"/>
    </row>
    <row r="2" spans="1:15" ht="15" thickTop="1" x14ac:dyDescent="0.35">
      <c r="A2" s="253" t="s">
        <v>35</v>
      </c>
      <c r="B2" s="253"/>
      <c r="C2" s="219"/>
      <c r="D2" s="219"/>
      <c r="E2" s="219"/>
      <c r="F2" s="219"/>
      <c r="G2" s="219"/>
      <c r="H2" s="219"/>
      <c r="I2" s="219"/>
      <c r="J2" s="219"/>
      <c r="K2" s="219"/>
      <c r="L2" s="219"/>
      <c r="M2" s="219"/>
      <c r="N2" s="219"/>
      <c r="O2" s="219"/>
    </row>
    <row r="3" spans="1:15" x14ac:dyDescent="0.35">
      <c r="B3" s="219"/>
      <c r="C3" s="219"/>
      <c r="D3" s="219"/>
      <c r="E3" s="219"/>
      <c r="F3" s="219"/>
      <c r="G3" s="219"/>
      <c r="H3" s="219"/>
      <c r="I3" s="219"/>
      <c r="J3" s="219"/>
      <c r="K3" s="219"/>
      <c r="L3" s="219"/>
      <c r="M3" s="219"/>
      <c r="N3" s="219"/>
      <c r="O3" s="219"/>
    </row>
    <row r="4" spans="1:15" x14ac:dyDescent="0.35">
      <c r="A4" t="s">
        <v>320</v>
      </c>
      <c r="B4" s="69"/>
    </row>
    <row r="5" spans="1:15" x14ac:dyDescent="0.35">
      <c r="A5" s="2">
        <v>2014</v>
      </c>
      <c r="B5" s="9" t="s">
        <v>301</v>
      </c>
      <c r="C5" s="9"/>
      <c r="D5" s="9"/>
      <c r="E5" s="9"/>
      <c r="F5" s="9"/>
      <c r="G5" s="9"/>
      <c r="H5" s="9"/>
      <c r="I5" s="9"/>
      <c r="J5" s="9"/>
      <c r="K5" s="9"/>
      <c r="L5" s="9"/>
      <c r="M5" s="9"/>
    </row>
    <row r="6" spans="1:15" x14ac:dyDescent="0.35">
      <c r="A6" s="2">
        <v>2015</v>
      </c>
      <c r="B6" s="9" t="s">
        <v>302</v>
      </c>
    </row>
    <row r="7" spans="1:15" x14ac:dyDescent="0.35">
      <c r="A7" s="2">
        <v>2016</v>
      </c>
      <c r="B7" s="9" t="s">
        <v>303</v>
      </c>
    </row>
    <row r="8" spans="1:15" x14ac:dyDescent="0.35">
      <c r="A8" s="2">
        <v>2017</v>
      </c>
      <c r="B8" s="9" t="s">
        <v>304</v>
      </c>
    </row>
    <row r="9" spans="1:15" x14ac:dyDescent="0.35">
      <c r="A9" s="2">
        <v>2018</v>
      </c>
      <c r="B9" s="70" t="s">
        <v>305</v>
      </c>
    </row>
    <row r="10" spans="1:15" x14ac:dyDescent="0.35">
      <c r="A10" s="2" t="s">
        <v>329</v>
      </c>
    </row>
    <row r="11" spans="1:15" x14ac:dyDescent="0.35">
      <c r="A11" s="645" t="s">
        <v>12</v>
      </c>
      <c r="B11" s="70" t="s">
        <v>3</v>
      </c>
    </row>
    <row r="12" spans="1:15" x14ac:dyDescent="0.35">
      <c r="A12" s="645" t="s">
        <v>57</v>
      </c>
      <c r="B12" s="70" t="s">
        <v>4</v>
      </c>
    </row>
    <row r="13" spans="1:15" x14ac:dyDescent="0.35">
      <c r="A13" s="645" t="s">
        <v>341</v>
      </c>
      <c r="B13" s="70" t="s">
        <v>5</v>
      </c>
    </row>
    <row r="14" spans="1:15" x14ac:dyDescent="0.35">
      <c r="A14" s="645" t="s">
        <v>16</v>
      </c>
      <c r="B14" s="70" t="s">
        <v>7</v>
      </c>
    </row>
    <row r="15" spans="1:15" x14ac:dyDescent="0.35">
      <c r="A15" s="2"/>
      <c r="B15" s="70"/>
    </row>
    <row r="16" spans="1:15" x14ac:dyDescent="0.35">
      <c r="A16" t="s">
        <v>299</v>
      </c>
    </row>
    <row r="17" spans="1:2" x14ac:dyDescent="0.35">
      <c r="A17" s="643" t="s">
        <v>321</v>
      </c>
      <c r="B17" s="9" t="s">
        <v>306</v>
      </c>
    </row>
    <row r="18" spans="1:2" x14ac:dyDescent="0.35">
      <c r="A18" s="643" t="s">
        <v>323</v>
      </c>
      <c r="B18" s="9" t="s">
        <v>307</v>
      </c>
    </row>
    <row r="19" spans="1:2" x14ac:dyDescent="0.35">
      <c r="A19" s="643" t="s">
        <v>322</v>
      </c>
      <c r="B19" s="9" t="s">
        <v>308</v>
      </c>
    </row>
    <row r="21" spans="1:2" x14ac:dyDescent="0.35">
      <c r="A21" s="643" t="s">
        <v>324</v>
      </c>
      <c r="B21" s="9" t="s">
        <v>309</v>
      </c>
    </row>
    <row r="22" spans="1:2" x14ac:dyDescent="0.35">
      <c r="A22" s="643" t="s">
        <v>323</v>
      </c>
      <c r="B22" s="9" t="s">
        <v>310</v>
      </c>
    </row>
    <row r="23" spans="1:2" x14ac:dyDescent="0.35">
      <c r="A23" s="643" t="s">
        <v>322</v>
      </c>
      <c r="B23" s="9" t="s">
        <v>311</v>
      </c>
    </row>
    <row r="25" spans="1:2" x14ac:dyDescent="0.35">
      <c r="A25" s="643" t="s">
        <v>325</v>
      </c>
      <c r="B25" s="9" t="s">
        <v>312</v>
      </c>
    </row>
    <row r="26" spans="1:2" x14ac:dyDescent="0.35">
      <c r="A26" s="643" t="s">
        <v>323</v>
      </c>
      <c r="B26" s="9" t="s">
        <v>313</v>
      </c>
    </row>
    <row r="27" spans="1:2" x14ac:dyDescent="0.35">
      <c r="A27" s="643" t="s">
        <v>322</v>
      </c>
      <c r="B27" s="9" t="s">
        <v>314</v>
      </c>
    </row>
    <row r="29" spans="1:2" x14ac:dyDescent="0.35">
      <c r="A29" s="643" t="s">
        <v>326</v>
      </c>
      <c r="B29" s="9" t="s">
        <v>315</v>
      </c>
    </row>
    <row r="30" spans="1:2" x14ac:dyDescent="0.35">
      <c r="A30" s="643" t="s">
        <v>323</v>
      </c>
      <c r="B30" s="9" t="s">
        <v>316</v>
      </c>
    </row>
    <row r="31" spans="1:2" x14ac:dyDescent="0.35">
      <c r="A31" s="643" t="s">
        <v>322</v>
      </c>
      <c r="B31" s="9" t="s">
        <v>317</v>
      </c>
    </row>
    <row r="33" spans="1:8" x14ac:dyDescent="0.35">
      <c r="A33" s="643" t="s">
        <v>327</v>
      </c>
      <c r="B33" s="9" t="s">
        <v>300</v>
      </c>
    </row>
    <row r="34" spans="1:8" x14ac:dyDescent="0.35">
      <c r="A34" s="643" t="s">
        <v>323</v>
      </c>
      <c r="B34" s="9" t="s">
        <v>318</v>
      </c>
    </row>
    <row r="35" spans="1:8" x14ac:dyDescent="0.35">
      <c r="A35" s="643" t="s">
        <v>322</v>
      </c>
      <c r="B35" s="9" t="s">
        <v>319</v>
      </c>
    </row>
    <row r="36" spans="1:8" x14ac:dyDescent="0.35">
      <c r="A36" s="2" t="s">
        <v>329</v>
      </c>
    </row>
    <row r="37" spans="1:8" x14ac:dyDescent="0.35">
      <c r="A37" s="645" t="s">
        <v>253</v>
      </c>
      <c r="B37" s="9" t="s">
        <v>255</v>
      </c>
    </row>
    <row r="38" spans="1:8" x14ac:dyDescent="0.35">
      <c r="A38" s="2"/>
      <c r="B38" s="9"/>
    </row>
    <row r="39" spans="1:8" x14ac:dyDescent="0.35">
      <c r="A39" t="s">
        <v>333</v>
      </c>
    </row>
    <row r="40" spans="1:8" x14ac:dyDescent="0.35">
      <c r="B40" s="70" t="s">
        <v>176</v>
      </c>
      <c r="C40" s="9"/>
      <c r="D40" s="9"/>
      <c r="E40" s="9"/>
      <c r="F40" s="9"/>
      <c r="G40" s="9"/>
      <c r="H40" s="9"/>
    </row>
    <row r="41" spans="1:8" x14ac:dyDescent="0.35">
      <c r="A41" s="2" t="s">
        <v>329</v>
      </c>
    </row>
    <row r="42" spans="1:8" x14ac:dyDescent="0.35">
      <c r="A42" s="645" t="s">
        <v>12</v>
      </c>
      <c r="B42" s="70" t="s">
        <v>3</v>
      </c>
    </row>
    <row r="43" spans="1:8" x14ac:dyDescent="0.35">
      <c r="A43" s="2"/>
    </row>
    <row r="44" spans="1:8" x14ac:dyDescent="0.35">
      <c r="A44" t="s">
        <v>334</v>
      </c>
    </row>
    <row r="45" spans="1:8" x14ac:dyDescent="0.35">
      <c r="B45" s="70" t="s">
        <v>173</v>
      </c>
    </row>
    <row r="46" spans="1:8" x14ac:dyDescent="0.35">
      <c r="A46" s="2" t="s">
        <v>329</v>
      </c>
    </row>
    <row r="47" spans="1:8" x14ac:dyDescent="0.35">
      <c r="A47" s="645" t="s">
        <v>341</v>
      </c>
      <c r="B47" s="70" t="s">
        <v>5</v>
      </c>
    </row>
    <row r="49" spans="1:2" x14ac:dyDescent="0.35">
      <c r="A49" t="s">
        <v>375</v>
      </c>
    </row>
    <row r="50" spans="1:2" x14ac:dyDescent="0.35">
      <c r="B50" s="9" t="s">
        <v>332</v>
      </c>
    </row>
    <row r="51" spans="1:2" x14ac:dyDescent="0.35">
      <c r="A51" s="2" t="s">
        <v>329</v>
      </c>
    </row>
    <row r="52" spans="1:2" x14ac:dyDescent="0.35">
      <c r="A52" s="645" t="s">
        <v>240</v>
      </c>
      <c r="B52" s="644" t="s">
        <v>246</v>
      </c>
    </row>
    <row r="54" spans="1:2" x14ac:dyDescent="0.35">
      <c r="A54" t="s">
        <v>336</v>
      </c>
    </row>
    <row r="55" spans="1:2" x14ac:dyDescent="0.35">
      <c r="A55" t="s">
        <v>338</v>
      </c>
      <c r="B55" s="9" t="s">
        <v>337</v>
      </c>
    </row>
    <row r="56" spans="1:2" x14ac:dyDescent="0.35">
      <c r="A56" t="s">
        <v>340</v>
      </c>
      <c r="B56" s="9" t="s">
        <v>339</v>
      </c>
    </row>
    <row r="57" spans="1:2" x14ac:dyDescent="0.35">
      <c r="A57" s="2" t="s">
        <v>329</v>
      </c>
    </row>
    <row r="58" spans="1:2" x14ac:dyDescent="0.35">
      <c r="A58" s="645" t="s">
        <v>342</v>
      </c>
      <c r="B58" s="9" t="s">
        <v>343</v>
      </c>
    </row>
  </sheetData>
  <mergeCells count="1">
    <mergeCell ref="A1:C1"/>
  </mergeCells>
  <phoneticPr fontId="14" type="noConversion"/>
  <hyperlinks>
    <hyperlink ref="B5" r:id="rId1" xr:uid="{EC53FF13-9B4F-4E05-9DC8-606A27B0601E}"/>
    <hyperlink ref="B6" r:id="rId2" xr:uid="{7CC54652-22DC-46FB-AC45-22E3FF498B64}"/>
    <hyperlink ref="B7" r:id="rId3" xr:uid="{439EE6C4-A33C-47BF-8A72-28700E56D239}"/>
    <hyperlink ref="B8" r:id="rId4" xr:uid="{D351C8E0-2D88-43E5-BCB8-C4A46EC3FA83}"/>
    <hyperlink ref="B9" r:id="rId5" xr:uid="{C402EC31-DCCC-4FCE-8E97-BEA1C509CCF7}"/>
    <hyperlink ref="B17" r:id="rId6" xr:uid="{0598F324-C647-4A8B-AEBA-6B4CC624D0C2}"/>
    <hyperlink ref="B18" r:id="rId7" xr:uid="{EDA1C60A-847C-411C-AB73-BE8FB1FE9D99}"/>
    <hyperlink ref="B19" r:id="rId8" xr:uid="{D0863E9C-3EC4-4FB4-8AC5-D6B2C759C7A2}"/>
    <hyperlink ref="B21" r:id="rId9" xr:uid="{56CC167A-925B-40EC-A599-1E5F30BE491C}"/>
    <hyperlink ref="B22" r:id="rId10" xr:uid="{859A3125-EEDF-44BA-B872-59F83D00D3B8}"/>
    <hyperlink ref="B23" r:id="rId11" xr:uid="{B11B6A18-7768-4857-8491-89ADEA7B3654}"/>
    <hyperlink ref="B25" r:id="rId12" xr:uid="{F2455D52-3A89-4CE6-837C-882E126963F2}"/>
    <hyperlink ref="B26" r:id="rId13" xr:uid="{D01A761F-CB8B-42B1-83CA-22C7372A630C}"/>
    <hyperlink ref="B27" r:id="rId14" xr:uid="{A9983A17-EE57-4339-95A7-A7999412CA82}"/>
    <hyperlink ref="B29" r:id="rId15" xr:uid="{F2FF0647-F57B-4D44-AFEE-45543F9A8B4C}"/>
    <hyperlink ref="B30" r:id="rId16" xr:uid="{53318F8F-231E-4DF1-8E32-3F6DE2251A55}"/>
    <hyperlink ref="B31" r:id="rId17" xr:uid="{A56C586D-B5A8-445D-B9EB-38A6963E02D2}"/>
    <hyperlink ref="B33" r:id="rId18" xr:uid="{4E421251-EB02-459F-97D9-46D6B2C84BAD}"/>
    <hyperlink ref="B34" r:id="rId19" xr:uid="{D4D2402B-C035-402C-BA91-EC8A06BE8312}"/>
    <hyperlink ref="B35" r:id="rId20" xr:uid="{CA32768D-EB19-4BD4-A4E1-7581AA37723F}"/>
    <hyperlink ref="A2" location="Home!A1" display="Go to Home" xr:uid="{036CA173-57E3-4BF0-B7AF-9F8AAFE998D2}"/>
    <hyperlink ref="B45" r:id="rId21" xr:uid="{ECC71900-7AD7-4384-A3EF-74C0B288AB69}"/>
    <hyperlink ref="B37" location="'Quarterly Data'!A1" display="Go to Quarterly Data" xr:uid="{84DE94DA-E24F-49FE-8BC4-E08989279DF6}"/>
    <hyperlink ref="B50" r:id="rId22" xr:uid="{3DF6949C-669F-474C-8BF6-47F3EC95EBDD}"/>
    <hyperlink ref="B40" r:id="rId23" xr:uid="{DE072D29-E6E3-448A-85A7-9C1B93EB1676}"/>
    <hyperlink ref="B11" location="Overview!A1" display="Overview!A1" xr:uid="{A56913B2-7388-4A02-9F7F-8AC66EEA9F21}"/>
    <hyperlink ref="B12" location="'Balance sheet'!A1" display="'Balance sheet'!A1" xr:uid="{A257338B-914E-41CF-9944-582BFCA59961}"/>
    <hyperlink ref="B13" location="'CF statement'!A1" display="'CF statement'!A1" xr:uid="{81A02329-4E1D-4306-AD03-BE318F15CD02}"/>
    <hyperlink ref="B14" location="'Segment Analysis'!A1" display="'Segment Analysis'!A1" xr:uid="{8F23C536-E474-45C1-8D19-18225E730EB5}"/>
    <hyperlink ref="B42" location="Overview!A1" display="Overview!A1" xr:uid="{E6B2BB61-DE26-4127-86CC-C65A8CAC428F}"/>
    <hyperlink ref="B47" location="'CF statement'!A1" display="'CF statement'!A1" xr:uid="{F634BACA-B834-4F02-93FC-66A4549ADA5E}"/>
    <hyperlink ref="B52" location="'Market Research'!A1" display="Go to Market Research" xr:uid="{83D57B6B-10B0-408A-96A5-35B81267A2D3}"/>
    <hyperlink ref="B55" r:id="rId24" xr:uid="{5EB80436-F9FD-4923-9282-E451C7C83DA5}"/>
    <hyperlink ref="B56" r:id="rId25" xr:uid="{16E65242-1BCA-419F-9698-5F236D019AF9}"/>
    <hyperlink ref="B58" location="'Assumed growth'!A1" display="Go to Assumed Growth" xr:uid="{5BD41C2C-77AD-4918-8B2F-ACA78D91F996}"/>
  </hyperlinks>
  <pageMargins left="0.7" right="0.7" top="0.75" bottom="0.75" header="0.3" footer="0.3"/>
  <drawing r:id="rId2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AB37-62E4-4D68-9505-1CE988E89F6B}">
  <dimension ref="A1:P24"/>
  <sheetViews>
    <sheetView tabSelected="1" workbookViewId="0">
      <pane ySplit="2" topLeftCell="A3" activePane="bottomLeft" state="frozen"/>
      <selection pane="bottomLeft" activeCell="G21" sqref="G21"/>
    </sheetView>
  </sheetViews>
  <sheetFormatPr defaultRowHeight="14.5" x14ac:dyDescent="0.35"/>
  <cols>
    <col min="1" max="1" width="10.81640625" bestFit="1" customWidth="1"/>
  </cols>
  <sheetData>
    <row r="1" spans="1:16" ht="20" thickBot="1" x14ac:dyDescent="0.5">
      <c r="A1" s="834" t="s">
        <v>19</v>
      </c>
      <c r="B1" s="834"/>
      <c r="C1" s="834"/>
      <c r="D1" s="834"/>
      <c r="E1" s="834"/>
      <c r="F1" s="834"/>
      <c r="G1" s="834"/>
      <c r="H1" s="834"/>
      <c r="I1" s="834"/>
      <c r="J1" s="834"/>
      <c r="K1" s="834"/>
      <c r="L1" s="834"/>
      <c r="M1" s="834"/>
      <c r="N1" s="834"/>
      <c r="O1" s="834"/>
      <c r="P1" s="834"/>
    </row>
    <row r="2" spans="1:16" ht="15" thickTop="1" x14ac:dyDescent="0.35">
      <c r="A2" s="253" t="s">
        <v>35</v>
      </c>
      <c r="B2" s="219"/>
      <c r="C2" s="219"/>
      <c r="D2" s="219"/>
      <c r="E2" s="219"/>
      <c r="F2" s="219"/>
      <c r="G2" s="219"/>
      <c r="H2" s="219"/>
      <c r="I2" s="219"/>
      <c r="J2" s="219"/>
      <c r="K2" s="219"/>
      <c r="L2" s="219"/>
      <c r="M2" s="219"/>
      <c r="N2" s="219"/>
    </row>
    <row r="3" spans="1:16" x14ac:dyDescent="0.35">
      <c r="A3" s="219"/>
      <c r="B3" s="219"/>
      <c r="C3" s="219"/>
      <c r="D3" s="219"/>
      <c r="E3" s="219"/>
      <c r="F3" s="219"/>
      <c r="G3" s="219"/>
      <c r="H3" s="219"/>
      <c r="I3" s="219"/>
      <c r="J3" s="219"/>
      <c r="K3" s="219"/>
      <c r="L3" s="219"/>
      <c r="M3" s="219"/>
      <c r="N3" s="219"/>
    </row>
    <row r="4" spans="1:16" x14ac:dyDescent="0.35">
      <c r="A4" s="254"/>
      <c r="B4" s="219"/>
      <c r="C4" s="219"/>
      <c r="D4" s="219"/>
      <c r="E4" s="219"/>
      <c r="F4" s="219"/>
      <c r="G4" s="219"/>
      <c r="H4" s="219"/>
      <c r="I4" s="219"/>
      <c r="J4" s="219"/>
      <c r="K4" s="219"/>
      <c r="L4" s="219"/>
      <c r="M4" s="219"/>
      <c r="N4" s="219"/>
    </row>
    <row r="5" spans="1:16" x14ac:dyDescent="0.35">
      <c r="A5" s="219"/>
      <c r="B5" s="219"/>
      <c r="C5" s="219"/>
      <c r="D5" s="219"/>
      <c r="E5" s="219"/>
      <c r="F5" s="219"/>
      <c r="G5" s="219"/>
      <c r="H5" s="219"/>
      <c r="I5" s="219"/>
      <c r="J5" s="219"/>
      <c r="K5" s="219"/>
      <c r="L5" s="219"/>
      <c r="M5" s="219"/>
      <c r="N5" s="219"/>
    </row>
    <row r="6" spans="1:16" x14ac:dyDescent="0.35">
      <c r="A6" s="254"/>
      <c r="B6" s="219"/>
      <c r="C6" s="219"/>
      <c r="D6" s="219"/>
      <c r="E6" s="219"/>
      <c r="F6" s="219"/>
      <c r="G6" s="219"/>
      <c r="H6" s="219"/>
      <c r="I6" s="219"/>
      <c r="J6" s="219"/>
      <c r="K6" s="219"/>
      <c r="L6" s="219"/>
      <c r="M6" s="219"/>
      <c r="N6" s="219"/>
    </row>
    <row r="7" spans="1:16" x14ac:dyDescent="0.35">
      <c r="A7" s="219"/>
      <c r="B7" s="219"/>
      <c r="C7" s="219"/>
      <c r="D7" s="219"/>
      <c r="E7" s="219"/>
      <c r="F7" s="219"/>
      <c r="G7" s="219"/>
      <c r="H7" s="219"/>
      <c r="I7" s="219"/>
      <c r="J7" s="219"/>
      <c r="K7" s="219"/>
      <c r="L7" s="219"/>
      <c r="M7" s="219"/>
      <c r="N7" s="219"/>
    </row>
    <row r="8" spans="1:16" x14ac:dyDescent="0.35">
      <c r="A8" s="219"/>
      <c r="B8" s="219"/>
      <c r="C8" s="219"/>
      <c r="D8" s="219"/>
      <c r="E8" s="219"/>
      <c r="F8" s="219"/>
      <c r="G8" s="219"/>
      <c r="H8" s="219"/>
      <c r="I8" s="219"/>
      <c r="J8" s="219"/>
      <c r="K8" s="219"/>
      <c r="L8" s="219"/>
      <c r="M8" s="219"/>
      <c r="N8" s="219"/>
    </row>
    <row r="9" spans="1:16" x14ac:dyDescent="0.35">
      <c r="A9" s="219"/>
      <c r="B9" s="219"/>
      <c r="C9" s="219"/>
      <c r="D9" s="219"/>
      <c r="E9" s="219"/>
      <c r="F9" s="219"/>
      <c r="G9" s="219"/>
      <c r="H9" s="219"/>
      <c r="I9" s="219"/>
      <c r="J9" s="219"/>
      <c r="K9" s="219"/>
      <c r="L9" s="219"/>
      <c r="M9" s="219"/>
      <c r="N9" s="219"/>
    </row>
    <row r="10" spans="1:16" x14ac:dyDescent="0.35">
      <c r="A10" s="219"/>
      <c r="B10" s="219"/>
      <c r="C10" s="219"/>
      <c r="D10" s="219"/>
      <c r="E10" s="219"/>
      <c r="F10" s="219"/>
      <c r="G10" s="219"/>
      <c r="H10" s="219"/>
      <c r="I10" s="219"/>
      <c r="J10" s="219"/>
      <c r="K10" s="219"/>
      <c r="L10" s="219"/>
      <c r="M10" s="219"/>
      <c r="N10" s="219"/>
    </row>
    <row r="11" spans="1:16" x14ac:dyDescent="0.35">
      <c r="A11" s="219"/>
      <c r="B11" s="219"/>
      <c r="C11" s="219"/>
      <c r="D11" s="219"/>
      <c r="E11" s="219"/>
      <c r="F11" s="219"/>
      <c r="G11" s="219"/>
      <c r="H11" s="219"/>
      <c r="I11" s="219"/>
      <c r="J11" s="219"/>
      <c r="K11" s="219"/>
      <c r="L11" s="219"/>
      <c r="M11" s="219"/>
      <c r="N11" s="219"/>
    </row>
    <row r="12" spans="1:16" x14ac:dyDescent="0.35">
      <c r="A12" s="219"/>
      <c r="B12" s="219"/>
      <c r="C12" s="219"/>
      <c r="D12" s="219"/>
      <c r="E12" s="219"/>
      <c r="F12" s="219"/>
      <c r="G12" s="219"/>
      <c r="H12" s="219"/>
      <c r="I12" s="219"/>
      <c r="J12" s="219"/>
      <c r="K12" s="219"/>
      <c r="L12" s="219"/>
      <c r="M12" s="219"/>
      <c r="N12" s="219"/>
    </row>
    <row r="13" spans="1:16" ht="14.5" customHeight="1" x14ac:dyDescent="0.35"/>
    <row r="17" spans="1:16" ht="14.5" customHeight="1" x14ac:dyDescent="0.35"/>
    <row r="19" spans="1:16" x14ac:dyDescent="0.35">
      <c r="B19" s="219"/>
      <c r="C19" s="219"/>
      <c r="D19" s="219"/>
      <c r="E19" s="219"/>
      <c r="F19" s="219"/>
      <c r="G19" s="219"/>
      <c r="H19" s="219"/>
      <c r="I19" s="219"/>
      <c r="J19" s="219"/>
      <c r="K19" s="219"/>
      <c r="L19" s="219"/>
      <c r="M19" s="219"/>
      <c r="N19" s="219"/>
    </row>
    <row r="20" spans="1:16" x14ac:dyDescent="0.35">
      <c r="A20" s="729"/>
      <c r="B20" s="729"/>
      <c r="C20" s="729"/>
      <c r="D20" s="729"/>
      <c r="E20" s="729"/>
      <c r="F20" s="729"/>
      <c r="G20" s="729"/>
      <c r="H20" s="729"/>
      <c r="I20" s="729"/>
      <c r="J20" s="729"/>
      <c r="K20" s="729"/>
      <c r="L20" s="729"/>
      <c r="M20" s="729"/>
      <c r="N20" s="729"/>
      <c r="O20" s="729"/>
      <c r="P20" s="729"/>
    </row>
    <row r="21" spans="1:16" x14ac:dyDescent="0.35">
      <c r="A21" s="729"/>
      <c r="B21" s="729"/>
      <c r="C21" s="729"/>
      <c r="D21" s="729"/>
      <c r="E21" s="729"/>
      <c r="F21" s="729"/>
      <c r="G21" s="729"/>
      <c r="H21" s="729"/>
      <c r="I21" s="729"/>
      <c r="J21" s="729"/>
      <c r="K21" s="729"/>
      <c r="L21" s="729"/>
      <c r="M21" s="729"/>
      <c r="N21" s="729"/>
      <c r="O21" s="729"/>
      <c r="P21" s="729"/>
    </row>
    <row r="24" spans="1:16" x14ac:dyDescent="0.35">
      <c r="A24" s="219"/>
      <c r="B24" s="219"/>
      <c r="C24" s="219"/>
      <c r="D24" s="219"/>
      <c r="E24" s="219"/>
      <c r="F24" s="219"/>
      <c r="G24" s="219"/>
      <c r="H24" s="219"/>
      <c r="I24" s="219"/>
      <c r="J24" s="219"/>
      <c r="K24" s="219"/>
      <c r="L24" s="219"/>
      <c r="M24" s="219"/>
      <c r="N24" s="219"/>
    </row>
  </sheetData>
  <mergeCells count="1">
    <mergeCell ref="A1:P1"/>
  </mergeCells>
  <hyperlinks>
    <hyperlink ref="A2" location="Home!A1" display="Go to Home" xr:uid="{CCE6FB24-CC5E-4178-B6CF-32CB5AE1D8BD}"/>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7F69-0B4B-4CD9-99FD-7B8CCEF080DA}">
  <dimension ref="A1:Q87"/>
  <sheetViews>
    <sheetView zoomScale="80" zoomScaleNormal="80" workbookViewId="0">
      <pane ySplit="4" topLeftCell="A5" activePane="bottomLeft" state="frozen"/>
      <selection pane="bottomLeft" activeCell="A2" sqref="A2"/>
    </sheetView>
  </sheetViews>
  <sheetFormatPr defaultRowHeight="14.5" x14ac:dyDescent="0.35"/>
  <cols>
    <col min="1" max="15" width="15.1796875" customWidth="1"/>
    <col min="16" max="16" width="10.6328125" customWidth="1"/>
  </cols>
  <sheetData>
    <row r="1" spans="1:15" ht="20" thickBot="1" x14ac:dyDescent="0.5">
      <c r="A1" s="875" t="s">
        <v>359</v>
      </c>
      <c r="B1" s="875"/>
      <c r="C1" s="875"/>
      <c r="D1" s="875"/>
      <c r="E1" s="875"/>
      <c r="F1" s="875"/>
      <c r="G1" s="875"/>
      <c r="H1" s="875"/>
      <c r="I1" s="875"/>
      <c r="J1" s="875"/>
    </row>
    <row r="2" spans="1:15" ht="15" thickTop="1" x14ac:dyDescent="0.35">
      <c r="A2" s="9" t="s">
        <v>35</v>
      </c>
    </row>
    <row r="3" spans="1:15" x14ac:dyDescent="0.35">
      <c r="A3" s="3" t="s">
        <v>109</v>
      </c>
    </row>
    <row r="4" spans="1:15" x14ac:dyDescent="0.35">
      <c r="A4" s="255" t="s">
        <v>357</v>
      </c>
    </row>
    <row r="7" spans="1:15" ht="14.5" customHeight="1" x14ac:dyDescent="0.35">
      <c r="J7" s="878"/>
      <c r="K7" s="878"/>
      <c r="L7" s="878"/>
      <c r="M7" s="878"/>
      <c r="N7" s="878"/>
      <c r="O7" s="878"/>
    </row>
    <row r="8" spans="1:15" x14ac:dyDescent="0.35">
      <c r="J8" s="878"/>
      <c r="K8" s="878"/>
      <c r="L8" s="878"/>
      <c r="M8" s="878"/>
      <c r="N8" s="878"/>
      <c r="O8" s="878"/>
    </row>
    <row r="14" spans="1:15" x14ac:dyDescent="0.35">
      <c r="A14" s="877" t="s">
        <v>358</v>
      </c>
      <c r="B14" s="877"/>
      <c r="C14" s="644" t="s">
        <v>360</v>
      </c>
    </row>
    <row r="15" spans="1:15" ht="15" thickBot="1" x14ac:dyDescent="0.4"/>
    <row r="16" spans="1:15" x14ac:dyDescent="0.35">
      <c r="A16" s="879" t="s">
        <v>101</v>
      </c>
      <c r="B16" s="881" t="s">
        <v>352</v>
      </c>
      <c r="C16" s="882"/>
      <c r="D16" s="882" t="s">
        <v>353</v>
      </c>
      <c r="E16" s="882"/>
      <c r="F16" s="882" t="s">
        <v>354</v>
      </c>
      <c r="G16" s="882"/>
      <c r="H16" s="882" t="s">
        <v>355</v>
      </c>
      <c r="I16" s="883"/>
    </row>
    <row r="17" spans="1:17" ht="29.5" thickBot="1" x14ac:dyDescent="0.4">
      <c r="A17" s="880"/>
      <c r="B17" s="685" t="s">
        <v>351</v>
      </c>
      <c r="C17" s="680" t="s">
        <v>30</v>
      </c>
      <c r="D17" s="680" t="s">
        <v>351</v>
      </c>
      <c r="E17" s="680" t="s">
        <v>30</v>
      </c>
      <c r="F17" s="680" t="s">
        <v>351</v>
      </c>
      <c r="G17" s="680" t="s">
        <v>30</v>
      </c>
      <c r="H17" s="680" t="s">
        <v>351</v>
      </c>
      <c r="I17" s="701" t="s">
        <v>30</v>
      </c>
    </row>
    <row r="18" spans="1:17" x14ac:dyDescent="0.35">
      <c r="A18" s="725">
        <v>2014</v>
      </c>
      <c r="B18" s="730">
        <f>'Data Source'!B9*'Data Source'!D21</f>
        <v>1002263.0005701144</v>
      </c>
      <c r="C18" s="742">
        <f>'Data Source'!C9*'Data Source'!D21</f>
        <v>36822.870518868753</v>
      </c>
      <c r="D18" s="733">
        <v>1002263.0005701144</v>
      </c>
      <c r="E18" s="745">
        <v>36822.870518868753</v>
      </c>
      <c r="F18" s="736">
        <v>1002263.0005701144</v>
      </c>
      <c r="G18" s="748">
        <v>36822.870518868753</v>
      </c>
      <c r="H18" s="739">
        <v>1002263.0005701144</v>
      </c>
      <c r="I18" s="751">
        <v>36822.870518868753</v>
      </c>
    </row>
    <row r="19" spans="1:17" x14ac:dyDescent="0.35">
      <c r="A19" s="89">
        <v>2015</v>
      </c>
      <c r="B19" s="731">
        <f>'Data Source'!B10*'Data Source'!D22</f>
        <v>1075278.2105127478</v>
      </c>
      <c r="C19" s="743">
        <f>'Data Source'!C10*'Data Source'!D22</f>
        <v>34060.734559124445</v>
      </c>
      <c r="D19" s="734">
        <v>1075278.2105127478</v>
      </c>
      <c r="E19" s="746">
        <v>34060.734559124445</v>
      </c>
      <c r="F19" s="737">
        <v>1075278.2105127478</v>
      </c>
      <c r="G19" s="749">
        <v>34060.734559124445</v>
      </c>
      <c r="H19" s="740">
        <v>1075278.2105127478</v>
      </c>
      <c r="I19" s="752">
        <v>34060.734559124445</v>
      </c>
      <c r="K19" s="755"/>
      <c r="L19" s="72"/>
      <c r="N19" s="755"/>
      <c r="O19" s="755"/>
      <c r="P19" s="72"/>
    </row>
    <row r="20" spans="1:17" x14ac:dyDescent="0.35">
      <c r="A20" s="89">
        <v>2016</v>
      </c>
      <c r="B20" s="731">
        <f>'Data Source'!B11*'Data Source'!D23</f>
        <v>1119072.0125354591</v>
      </c>
      <c r="C20" s="743">
        <f>'Data Source'!C11*'Data Source'!D23</f>
        <v>32589.291826285753</v>
      </c>
      <c r="D20" s="734">
        <v>1119072.0125354591</v>
      </c>
      <c r="E20" s="746">
        <v>32589.291826285753</v>
      </c>
      <c r="F20" s="737">
        <v>1119072.0125354591</v>
      </c>
      <c r="G20" s="749">
        <v>32589.291826285753</v>
      </c>
      <c r="H20" s="740">
        <v>1119072.0125354591</v>
      </c>
      <c r="I20" s="752">
        <v>32589.291826285753</v>
      </c>
      <c r="K20" s="755"/>
      <c r="L20" s="72"/>
      <c r="N20" s="755"/>
      <c r="O20" s="755"/>
      <c r="P20" s="72"/>
    </row>
    <row r="21" spans="1:17" x14ac:dyDescent="0.35">
      <c r="A21" s="89">
        <v>2017</v>
      </c>
      <c r="B21" s="731">
        <f>'Data Source'!B12*'Data Source'!D24</f>
        <v>1139027.4286837548</v>
      </c>
      <c r="C21" s="743">
        <f>'Data Source'!C12*'Data Source'!D24</f>
        <v>29574.8678657866</v>
      </c>
      <c r="D21" s="734">
        <v>1139027.4286837548</v>
      </c>
      <c r="E21" s="746">
        <v>29574.8678657866</v>
      </c>
      <c r="F21" s="737">
        <v>1139027.4286837548</v>
      </c>
      <c r="G21" s="749">
        <v>29574.8678657866</v>
      </c>
      <c r="H21" s="740">
        <v>1139027.4286837548</v>
      </c>
      <c r="I21" s="752">
        <v>29574.8678657866</v>
      </c>
      <c r="K21" s="755"/>
      <c r="L21" s="72"/>
      <c r="N21" s="755"/>
      <c r="O21" s="755"/>
      <c r="P21" s="72"/>
    </row>
    <row r="22" spans="1:17" x14ac:dyDescent="0.35">
      <c r="A22" s="89">
        <v>2018</v>
      </c>
      <c r="B22" s="731">
        <f>'Data Source'!B13*'Data Source'!D25</f>
        <v>1147068.7707086159</v>
      </c>
      <c r="C22" s="743">
        <f>'Data Source'!C13*'Data Source'!D25</f>
        <v>26598.624260988512</v>
      </c>
      <c r="D22" s="734">
        <f>'Data Source'!D13*'Data Source'!D25</f>
        <v>1147068.7707086159</v>
      </c>
      <c r="E22" s="746">
        <f>'Data Source'!E13*'Data Source'!D25</f>
        <v>26598.624260988512</v>
      </c>
      <c r="F22" s="737">
        <f>'Data Source'!F13*'Data Source'!D25</f>
        <v>1147068.7707086159</v>
      </c>
      <c r="G22" s="749">
        <f>'Data Source'!G13*'Data Source'!D25</f>
        <v>26598.624260988512</v>
      </c>
      <c r="H22" s="740">
        <f>'Data Source'!H13*'Data Source'!D25</f>
        <v>1147068.7707086159</v>
      </c>
      <c r="I22" s="752">
        <f>'Data Source'!I13*'Data Source'!D25</f>
        <v>26598.624260988512</v>
      </c>
      <c r="K22" s="755"/>
      <c r="L22" s="72"/>
      <c r="N22" s="755"/>
      <c r="O22" s="755"/>
      <c r="P22" s="72"/>
    </row>
    <row r="23" spans="1:17" x14ac:dyDescent="0.35">
      <c r="A23" s="89">
        <v>2019</v>
      </c>
      <c r="B23" s="731">
        <f>'Data Source'!B14*'Data Source'!D26</f>
        <v>1163230.3609174909</v>
      </c>
      <c r="C23" s="743">
        <f>'Data Source'!C14*'Data Source'!D26</f>
        <v>26189.545972491182</v>
      </c>
      <c r="D23" s="734">
        <v>1192951.5215369605</v>
      </c>
      <c r="E23" s="746">
        <v>27404.643177988168</v>
      </c>
      <c r="F23" s="737">
        <v>1164274.8022692448</v>
      </c>
      <c r="G23" s="749">
        <v>28210.66209498782</v>
      </c>
      <c r="H23" s="740">
        <v>1170010.1461227881</v>
      </c>
      <c r="I23" s="752">
        <v>28210.66209498782</v>
      </c>
      <c r="K23" s="755"/>
      <c r="L23" s="72"/>
      <c r="N23" s="755"/>
      <c r="O23" s="755"/>
      <c r="P23" s="72"/>
    </row>
    <row r="24" spans="1:17" x14ac:dyDescent="0.35">
      <c r="A24" s="89">
        <v>2020</v>
      </c>
      <c r="B24" s="731">
        <f>'Data Source'!B15*'Data Source'!D27</f>
        <v>1107950.0995500579</v>
      </c>
      <c r="C24" s="743">
        <f>'Data Source'!C15*'Data Source'!D27</f>
        <v>23155.351031350398</v>
      </c>
      <c r="D24" s="734">
        <v>1240669.5823984391</v>
      </c>
      <c r="E24" s="746">
        <v>28237.96804197189</v>
      </c>
      <c r="F24" s="737">
        <v>1181738.9243032834</v>
      </c>
      <c r="G24" s="749">
        <v>25648.673394524641</v>
      </c>
      <c r="H24" s="740">
        <v>1193410.3490452438</v>
      </c>
      <c r="I24" s="752">
        <v>25648.673394524641</v>
      </c>
    </row>
    <row r="25" spans="1:17" x14ac:dyDescent="0.35">
      <c r="A25" s="89">
        <v>2021</v>
      </c>
      <c r="B25" s="731">
        <f>'Data Source'!B16*'Data Source'!D28</f>
        <v>1175306.7611211212</v>
      </c>
      <c r="C25" s="743">
        <f>'Data Source'!C16*'Data Source'!D28</f>
        <v>26813.9565837146</v>
      </c>
      <c r="D25" s="734">
        <v>1290296.3656943766</v>
      </c>
      <c r="E25" s="746">
        <v>29099.66273686093</v>
      </c>
      <c r="F25" s="737">
        <v>1199465.0081678326</v>
      </c>
      <c r="G25" s="749">
        <v>22285.259728768418</v>
      </c>
      <c r="H25" s="740">
        <v>1217278.5560261486</v>
      </c>
      <c r="I25" s="752">
        <v>22285.259728768418</v>
      </c>
    </row>
    <row r="26" spans="1:17" x14ac:dyDescent="0.35">
      <c r="A26" s="89">
        <v>2022</v>
      </c>
      <c r="B26" s="731">
        <f>'Data Source'!B17*'Data Source'!D29</f>
        <v>1128715.0017087813</v>
      </c>
      <c r="C26" s="743">
        <f>'Data Source'!C17*'Data Source'!D29</f>
        <v>24807.555316998772</v>
      </c>
      <c r="D26" s="734">
        <v>1341908.2203221517</v>
      </c>
      <c r="E26" s="746">
        <v>29990.839908177295</v>
      </c>
      <c r="F26" s="737">
        <v>1217456.9832903498</v>
      </c>
      <c r="G26" s="749">
        <v>24318.78967901854</v>
      </c>
      <c r="H26" s="740">
        <v>1241624.1271466718</v>
      </c>
      <c r="I26" s="752">
        <v>24318.78967901854</v>
      </c>
      <c r="K26" s="755"/>
      <c r="L26" s="755"/>
      <c r="M26" s="754"/>
      <c r="O26" s="755"/>
      <c r="P26" s="755"/>
      <c r="Q26" s="72"/>
    </row>
    <row r="27" spans="1:17" ht="15" thickBot="1" x14ac:dyDescent="0.4">
      <c r="A27" s="726">
        <v>2023</v>
      </c>
      <c r="B27" s="732">
        <f>'Data Source'!B18*'Data Source'!D30</f>
        <v>1099410.8726971389</v>
      </c>
      <c r="C27" s="744">
        <f>'Data Source'!C18*'Data Source'!D30</f>
        <v>26249.684529043308</v>
      </c>
      <c r="D27" s="735">
        <v>1395584.5491350377</v>
      </c>
      <c r="E27" s="747">
        <v>30912.663619039169</v>
      </c>
      <c r="F27" s="738">
        <v>1235718.8380397051</v>
      </c>
      <c r="G27" s="750">
        <v>25803.515785737571</v>
      </c>
      <c r="H27" s="741">
        <v>1266456.6096896052</v>
      </c>
      <c r="I27" s="753">
        <v>25803.515785737571</v>
      </c>
      <c r="K27" s="755"/>
      <c r="L27" s="755"/>
      <c r="M27" s="754"/>
      <c r="O27" s="755"/>
      <c r="P27" s="755"/>
      <c r="Q27" s="72"/>
    </row>
    <row r="28" spans="1:17" x14ac:dyDescent="0.35">
      <c r="K28" s="755"/>
      <c r="L28" s="755"/>
      <c r="M28" s="754"/>
      <c r="O28" s="755"/>
      <c r="P28" s="755"/>
      <c r="Q28" s="72"/>
    </row>
    <row r="29" spans="1:17" x14ac:dyDescent="0.35">
      <c r="K29" s="755"/>
      <c r="L29" s="755"/>
      <c r="M29" s="754"/>
      <c r="O29" s="755"/>
      <c r="P29" s="755"/>
      <c r="Q29" s="72"/>
    </row>
    <row r="30" spans="1:17" x14ac:dyDescent="0.35">
      <c r="K30" s="755"/>
      <c r="L30" s="755"/>
      <c r="M30" s="754"/>
      <c r="O30" s="755"/>
      <c r="P30" s="755"/>
      <c r="Q30" s="72"/>
    </row>
    <row r="33" spans="10:15" x14ac:dyDescent="0.35">
      <c r="J33" s="74"/>
      <c r="N33" s="756"/>
      <c r="O33" s="756"/>
    </row>
    <row r="34" spans="10:15" x14ac:dyDescent="0.35">
      <c r="K34" s="756"/>
      <c r="L34" s="756"/>
      <c r="N34" s="756"/>
      <c r="O34" s="756"/>
    </row>
    <row r="35" spans="10:15" x14ac:dyDescent="0.35">
      <c r="K35" s="756"/>
      <c r="L35" s="756"/>
      <c r="N35" s="756"/>
      <c r="O35" s="756"/>
    </row>
    <row r="36" spans="10:15" x14ac:dyDescent="0.35">
      <c r="K36" s="756"/>
      <c r="L36" s="756"/>
      <c r="N36" s="756"/>
      <c r="O36" s="756"/>
    </row>
    <row r="37" spans="10:15" x14ac:dyDescent="0.35">
      <c r="K37" s="756"/>
      <c r="L37" s="756"/>
      <c r="N37" s="756"/>
      <c r="O37" s="756"/>
    </row>
    <row r="38" spans="10:15" x14ac:dyDescent="0.35">
      <c r="K38" s="756"/>
      <c r="L38" s="756"/>
    </row>
    <row r="39" spans="10:15" x14ac:dyDescent="0.35">
      <c r="K39" s="756"/>
    </row>
    <row r="40" spans="10:15" x14ac:dyDescent="0.35">
      <c r="K40" s="756"/>
    </row>
    <row r="41" spans="10:15" x14ac:dyDescent="0.35">
      <c r="K41" s="756"/>
    </row>
    <row r="42" spans="10:15" x14ac:dyDescent="0.35">
      <c r="K42" s="756"/>
    </row>
    <row r="43" spans="10:15" x14ac:dyDescent="0.35">
      <c r="K43" s="756"/>
    </row>
    <row r="44" spans="10:15" x14ac:dyDescent="0.35">
      <c r="K44" s="756"/>
    </row>
    <row r="45" spans="10:15" x14ac:dyDescent="0.35">
      <c r="K45" s="756"/>
    </row>
    <row r="46" spans="10:15" x14ac:dyDescent="0.35">
      <c r="K46" s="756"/>
    </row>
    <row r="47" spans="10:15" x14ac:dyDescent="0.35">
      <c r="K47" s="756"/>
    </row>
    <row r="53" spans="1:4" ht="15" thickBot="1" x14ac:dyDescent="0.4">
      <c r="A53" s="31" t="s">
        <v>377</v>
      </c>
    </row>
    <row r="54" spans="1:4" x14ac:dyDescent="0.35">
      <c r="A54" s="890" t="s">
        <v>101</v>
      </c>
      <c r="B54" s="884" t="s">
        <v>379</v>
      </c>
      <c r="C54" s="886" t="s">
        <v>380</v>
      </c>
      <c r="D54" s="888" t="s">
        <v>381</v>
      </c>
    </row>
    <row r="55" spans="1:4" ht="15" thickBot="1" x14ac:dyDescent="0.4">
      <c r="A55" s="891"/>
      <c r="B55" s="885"/>
      <c r="C55" s="887"/>
      <c r="D55" s="889"/>
    </row>
    <row r="56" spans="1:4" x14ac:dyDescent="0.35">
      <c r="A56" s="757">
        <v>2019</v>
      </c>
      <c r="B56" s="760">
        <f>(F23-B23)/B23</f>
        <v>8.9788006472776003E-4</v>
      </c>
      <c r="C56" s="762">
        <f t="shared" ref="C56:D60" si="0">(H23-B23)/B23</f>
        <v>5.8284114936182178E-3</v>
      </c>
      <c r="D56" s="764">
        <f t="shared" si="0"/>
        <v>7.7172629285729738E-2</v>
      </c>
    </row>
    <row r="57" spans="1:4" x14ac:dyDescent="0.35">
      <c r="A57" s="758">
        <v>2020</v>
      </c>
      <c r="B57" s="761">
        <f>(F24-B24)/B24</f>
        <v>6.6599411637032591E-2</v>
      </c>
      <c r="C57" s="763">
        <f t="shared" si="0"/>
        <v>7.7133662905839881E-2</v>
      </c>
      <c r="D57" s="765">
        <f t="shared" si="0"/>
        <v>0.10767802050586472</v>
      </c>
    </row>
    <row r="58" spans="1:4" x14ac:dyDescent="0.35">
      <c r="A58" s="758">
        <v>2021</v>
      </c>
      <c r="B58" s="761">
        <f>(F25-B25)/B25</f>
        <v>2.0554843931695686E-2</v>
      </c>
      <c r="C58" s="763">
        <f t="shared" si="0"/>
        <v>3.5711353234274441E-2</v>
      </c>
      <c r="D58" s="765">
        <f t="shared" si="0"/>
        <v>-0.16889327171122057</v>
      </c>
    </row>
    <row r="59" spans="1:4" x14ac:dyDescent="0.35">
      <c r="A59" s="758">
        <v>2022</v>
      </c>
      <c r="B59" s="761">
        <f>(F26-B26)/B26</f>
        <v>7.8622133529917163E-2</v>
      </c>
      <c r="C59" s="763">
        <f t="shared" si="0"/>
        <v>0.10003333460346971</v>
      </c>
      <c r="D59" s="765">
        <f t="shared" si="0"/>
        <v>-1.970228955391333E-2</v>
      </c>
    </row>
    <row r="60" spans="1:4" x14ac:dyDescent="0.35">
      <c r="A60" s="758">
        <v>2023</v>
      </c>
      <c r="B60" s="761">
        <f>(F27-B27)/B27</f>
        <v>0.12398273359637374</v>
      </c>
      <c r="C60" s="763">
        <f t="shared" si="0"/>
        <v>0.1519411360583145</v>
      </c>
      <c r="D60" s="765">
        <f t="shared" si="0"/>
        <v>-1.6997108777139225E-2</v>
      </c>
    </row>
    <row r="61" spans="1:4" ht="15" thickBot="1" x14ac:dyDescent="0.4">
      <c r="A61" s="759" t="s">
        <v>378</v>
      </c>
      <c r="B61" s="766">
        <f>SUM(B56:B60)/5</f>
        <v>5.8131400551949389E-2</v>
      </c>
      <c r="C61" s="767">
        <f t="shared" ref="C61:D61" si="1">SUM(C56:C60)/5</f>
        <v>7.4129579659103356E-2</v>
      </c>
      <c r="D61" s="768">
        <f t="shared" si="1"/>
        <v>-4.148404050135732E-3</v>
      </c>
    </row>
    <row r="81" spans="1:16" x14ac:dyDescent="0.35">
      <c r="A81" s="27" t="s">
        <v>344</v>
      </c>
      <c r="B81" s="3"/>
      <c r="C81" s="3"/>
      <c r="D81" s="3"/>
      <c r="E81" s="3"/>
      <c r="F81" s="3"/>
      <c r="G81" s="3"/>
      <c r="H81" s="3"/>
      <c r="I81" s="3"/>
      <c r="J81" s="3"/>
      <c r="K81" s="3"/>
      <c r="L81" s="3"/>
      <c r="M81" s="3"/>
    </row>
    <row r="82" spans="1:16" ht="14.5" customHeight="1" x14ac:dyDescent="0.35">
      <c r="A82" s="876" t="s">
        <v>382</v>
      </c>
      <c r="B82" s="876"/>
      <c r="C82" s="876"/>
      <c r="D82" s="876"/>
      <c r="E82" s="876"/>
      <c r="F82" s="876"/>
      <c r="G82" s="876"/>
      <c r="H82" s="876"/>
      <c r="I82" s="876"/>
      <c r="J82" s="876"/>
      <c r="K82" s="728"/>
      <c r="L82" s="728"/>
      <c r="M82" s="728"/>
      <c r="N82" s="728"/>
      <c r="O82" s="728"/>
      <c r="P82" s="728"/>
    </row>
    <row r="83" spans="1:16" x14ac:dyDescent="0.35">
      <c r="A83" s="728"/>
      <c r="B83" s="728"/>
      <c r="C83" s="728"/>
      <c r="D83" s="728"/>
      <c r="E83" s="728"/>
      <c r="F83" s="728"/>
      <c r="G83" s="728"/>
      <c r="H83" s="728"/>
      <c r="I83" s="728"/>
      <c r="J83" s="728"/>
      <c r="K83" s="728"/>
      <c r="L83" s="728"/>
      <c r="M83" s="728"/>
      <c r="N83" s="728"/>
      <c r="O83" s="728"/>
      <c r="P83" s="728"/>
    </row>
    <row r="84" spans="1:16" x14ac:dyDescent="0.35">
      <c r="A84" s="728"/>
      <c r="B84" s="728"/>
      <c r="C84" s="728"/>
      <c r="D84" s="728"/>
      <c r="E84" s="728"/>
      <c r="F84" s="728"/>
      <c r="G84" s="728"/>
      <c r="H84" s="728"/>
      <c r="I84" s="728"/>
      <c r="J84" s="728"/>
      <c r="K84" s="728"/>
      <c r="L84" s="728"/>
      <c r="M84" s="728"/>
      <c r="N84" s="728"/>
      <c r="O84" s="728"/>
      <c r="P84" s="728"/>
    </row>
    <row r="85" spans="1:16" x14ac:dyDescent="0.35">
      <c r="A85" s="728"/>
      <c r="B85" s="728"/>
      <c r="C85" s="728"/>
      <c r="D85" s="728"/>
      <c r="E85" s="728"/>
      <c r="F85" s="728"/>
      <c r="G85" s="728"/>
      <c r="H85" s="728"/>
      <c r="I85" s="728"/>
      <c r="J85" s="728"/>
    </row>
    <row r="86" spans="1:16" x14ac:dyDescent="0.35">
      <c r="A86" s="728"/>
      <c r="B86" s="728"/>
      <c r="C86" s="728"/>
      <c r="D86" s="728"/>
      <c r="E86" s="728"/>
      <c r="F86" s="728"/>
      <c r="G86" s="728"/>
      <c r="H86" s="728"/>
      <c r="I86" s="728"/>
      <c r="J86" s="728"/>
    </row>
    <row r="87" spans="1:16" x14ac:dyDescent="0.35">
      <c r="A87" s="728"/>
      <c r="B87" s="728"/>
      <c r="C87" s="728"/>
      <c r="D87" s="728"/>
      <c r="E87" s="728"/>
      <c r="F87" s="728"/>
      <c r="G87" s="728"/>
      <c r="H87" s="728"/>
      <c r="I87" s="728"/>
      <c r="J87" s="728"/>
    </row>
  </sheetData>
  <mergeCells count="18">
    <mergeCell ref="B54:B55"/>
    <mergeCell ref="C54:C55"/>
    <mergeCell ref="D54:D55"/>
    <mergeCell ref="A54:A55"/>
    <mergeCell ref="A82:J82"/>
    <mergeCell ref="A16:A17"/>
    <mergeCell ref="O7:O8"/>
    <mergeCell ref="J7:J8"/>
    <mergeCell ref="K7:K8"/>
    <mergeCell ref="B16:C16"/>
    <mergeCell ref="D16:E16"/>
    <mergeCell ref="F16:G16"/>
    <mergeCell ref="H16:I16"/>
    <mergeCell ref="A1:J1"/>
    <mergeCell ref="A14:B14"/>
    <mergeCell ref="L7:L8"/>
    <mergeCell ref="M7:M8"/>
    <mergeCell ref="N7:N8"/>
  </mergeCells>
  <hyperlinks>
    <hyperlink ref="A2" location="Home!A1" display="Go to Home" xr:uid="{1E42E0DA-18EF-43AC-9687-EBFEC9FE2FD2}"/>
    <hyperlink ref="C14" location="'Data Source'!A1" display="Go to Data Source" xr:uid="{BD67C2A9-7CCB-4CDC-BD46-65F806A77C02}"/>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4399-FE1C-41CE-BAED-5F71063F03E0}">
  <dimension ref="A1:J46"/>
  <sheetViews>
    <sheetView zoomScale="110" zoomScaleNormal="110" workbookViewId="0">
      <pane ySplit="4" topLeftCell="A5" activePane="bottomLeft" state="frozen"/>
      <selection pane="bottomLeft" activeCell="A46" sqref="A46:J46"/>
    </sheetView>
  </sheetViews>
  <sheetFormatPr defaultRowHeight="14.5" x14ac:dyDescent="0.35"/>
  <cols>
    <col min="1" max="9" width="15.1796875" customWidth="1"/>
  </cols>
  <sheetData>
    <row r="1" spans="1:9" ht="20" thickBot="1" x14ac:dyDescent="0.5">
      <c r="A1" s="875" t="s">
        <v>362</v>
      </c>
      <c r="B1" s="875"/>
      <c r="C1" s="875"/>
      <c r="D1" s="875"/>
      <c r="E1" s="875"/>
      <c r="F1" s="875"/>
      <c r="G1" s="875"/>
      <c r="H1" s="875"/>
      <c r="I1" s="875"/>
    </row>
    <row r="2" spans="1:9" ht="15" thickTop="1" x14ac:dyDescent="0.35">
      <c r="A2" s="9" t="s">
        <v>361</v>
      </c>
    </row>
    <row r="3" spans="1:9" x14ac:dyDescent="0.35">
      <c r="A3" s="3" t="s">
        <v>109</v>
      </c>
    </row>
    <row r="4" spans="1:9" x14ac:dyDescent="0.35">
      <c r="A4" s="3" t="s">
        <v>374</v>
      </c>
    </row>
    <row r="6" spans="1:9" ht="15" thickBot="1" x14ac:dyDescent="0.4"/>
    <row r="7" spans="1:9" x14ac:dyDescent="0.35">
      <c r="A7" s="892" t="s">
        <v>101</v>
      </c>
      <c r="B7" s="894" t="s">
        <v>371</v>
      </c>
      <c r="C7" s="895"/>
      <c r="D7" s="896" t="s">
        <v>363</v>
      </c>
      <c r="E7" s="897"/>
      <c r="F7" s="898" t="s">
        <v>364</v>
      </c>
      <c r="G7" s="899"/>
      <c r="H7" s="900" t="s">
        <v>365</v>
      </c>
      <c r="I7" s="901"/>
    </row>
    <row r="8" spans="1:9" ht="29.5" thickBot="1" x14ac:dyDescent="0.4">
      <c r="A8" s="893"/>
      <c r="B8" s="686" t="s">
        <v>351</v>
      </c>
      <c r="C8" s="687" t="s">
        <v>30</v>
      </c>
      <c r="D8" s="700" t="s">
        <v>351</v>
      </c>
      <c r="E8" s="701" t="s">
        <v>30</v>
      </c>
      <c r="F8" s="695" t="s">
        <v>351</v>
      </c>
      <c r="G8" s="709" t="s">
        <v>30</v>
      </c>
      <c r="H8" s="713" t="s">
        <v>351</v>
      </c>
      <c r="I8" s="681" t="s">
        <v>30</v>
      </c>
    </row>
    <row r="9" spans="1:9" x14ac:dyDescent="0.35">
      <c r="A9" s="677">
        <v>2014</v>
      </c>
      <c r="B9" s="688">
        <v>746910.8</v>
      </c>
      <c r="C9" s="689">
        <v>27441.3</v>
      </c>
      <c r="D9" s="702">
        <v>792251.8</v>
      </c>
      <c r="E9" s="703">
        <v>29107.1172914132</v>
      </c>
      <c r="F9" s="696">
        <v>792251.8</v>
      </c>
      <c r="G9" s="710">
        <v>29107.1172914132</v>
      </c>
      <c r="H9" s="714">
        <v>792251.8</v>
      </c>
      <c r="I9" s="682">
        <v>29107.1172914132</v>
      </c>
    </row>
    <row r="10" spans="1:9" x14ac:dyDescent="0.35">
      <c r="A10" s="678">
        <v>2015</v>
      </c>
      <c r="B10" s="690">
        <v>802274.1</v>
      </c>
      <c r="C10" s="691">
        <v>25413</v>
      </c>
      <c r="D10" s="704">
        <v>849967.1</v>
      </c>
      <c r="E10" s="705">
        <v>26923.732015003101</v>
      </c>
      <c r="F10" s="697">
        <v>849967.1</v>
      </c>
      <c r="G10" s="711">
        <v>26923.732015003101</v>
      </c>
      <c r="H10" s="715">
        <v>849967.1</v>
      </c>
      <c r="I10" s="683">
        <v>26923.732015003101</v>
      </c>
    </row>
    <row r="11" spans="1:9" x14ac:dyDescent="0.35">
      <c r="A11" s="678">
        <v>2016</v>
      </c>
      <c r="B11" s="690">
        <v>845482.6</v>
      </c>
      <c r="C11" s="691">
        <v>24621.9</v>
      </c>
      <c r="D11" s="704">
        <v>884585</v>
      </c>
      <c r="E11" s="705">
        <v>25760.629662051499</v>
      </c>
      <c r="F11" s="697">
        <v>884585</v>
      </c>
      <c r="G11" s="711">
        <v>25760.629662051499</v>
      </c>
      <c r="H11" s="715">
        <v>884585</v>
      </c>
      <c r="I11" s="683">
        <v>25760.629662051499</v>
      </c>
    </row>
    <row r="12" spans="1:9" x14ac:dyDescent="0.35">
      <c r="A12" s="678">
        <v>2017</v>
      </c>
      <c r="B12" s="690">
        <v>878890.2</v>
      </c>
      <c r="C12" s="691">
        <v>22820.400000000001</v>
      </c>
      <c r="D12" s="704">
        <v>900356.9</v>
      </c>
      <c r="E12" s="705">
        <v>23377.7830564621</v>
      </c>
      <c r="F12" s="697">
        <v>900356.9</v>
      </c>
      <c r="G12" s="711">
        <v>23377.7830564621</v>
      </c>
      <c r="H12" s="715">
        <v>900356.9</v>
      </c>
      <c r="I12" s="683">
        <v>23377.7830564621</v>
      </c>
    </row>
    <row r="13" spans="1:9" x14ac:dyDescent="0.35">
      <c r="A13" s="678">
        <v>2018</v>
      </c>
      <c r="B13" s="690">
        <v>906714.2</v>
      </c>
      <c r="C13" s="691">
        <v>21025.200000000001</v>
      </c>
      <c r="D13" s="704">
        <v>906714.2</v>
      </c>
      <c r="E13" s="705">
        <v>21025.200000000001</v>
      </c>
      <c r="F13" s="697">
        <v>906714.2</v>
      </c>
      <c r="G13" s="711">
        <v>21025.200000000001</v>
      </c>
      <c r="H13" s="715">
        <v>906714.2</v>
      </c>
      <c r="I13" s="683">
        <v>21025.200000000001</v>
      </c>
    </row>
    <row r="14" spans="1:9" x14ac:dyDescent="0.35">
      <c r="A14" s="678">
        <v>2019</v>
      </c>
      <c r="B14" s="692">
        <v>936152.4</v>
      </c>
      <c r="C14" s="691">
        <v>21077</v>
      </c>
      <c r="D14" s="706">
        <v>942982.76800000004</v>
      </c>
      <c r="E14" s="705">
        <v>21662.327272727274</v>
      </c>
      <c r="F14" s="698">
        <v>920314.91299999983</v>
      </c>
      <c r="G14" s="711">
        <v>22299.454545454548</v>
      </c>
      <c r="H14" s="716">
        <v>924848.48399999994</v>
      </c>
      <c r="I14" s="683">
        <v>22299.454545454548</v>
      </c>
    </row>
    <row r="15" spans="1:9" x14ac:dyDescent="0.35">
      <c r="A15" s="678">
        <v>2020</v>
      </c>
      <c r="B15" s="692">
        <v>902663</v>
      </c>
      <c r="C15" s="691">
        <v>18865</v>
      </c>
      <c r="D15" s="706">
        <v>980702.07872000011</v>
      </c>
      <c r="E15" s="705">
        <v>22321.038857142859</v>
      </c>
      <c r="F15" s="698">
        <v>934119.63669499976</v>
      </c>
      <c r="G15" s="711">
        <v>20274.300000000003</v>
      </c>
      <c r="H15" s="716">
        <v>943345.45367999992</v>
      </c>
      <c r="I15" s="683">
        <v>20274.300000000003</v>
      </c>
    </row>
    <row r="16" spans="1:9" x14ac:dyDescent="0.35">
      <c r="A16" s="678">
        <v>2021</v>
      </c>
      <c r="B16" s="692">
        <v>1002523.3</v>
      </c>
      <c r="C16" s="691">
        <v>22872</v>
      </c>
      <c r="D16" s="706">
        <v>1019930.1618688002</v>
      </c>
      <c r="E16" s="705">
        <v>23002.175712989694</v>
      </c>
      <c r="F16" s="698">
        <v>948131.43124542467</v>
      </c>
      <c r="G16" s="711">
        <v>17615.649525773199</v>
      </c>
      <c r="H16" s="716">
        <v>962212.36275359988</v>
      </c>
      <c r="I16" s="683">
        <v>17615.649525773199</v>
      </c>
    </row>
    <row r="17" spans="1:10" x14ac:dyDescent="0.35">
      <c r="A17" s="678">
        <v>2022</v>
      </c>
      <c r="B17" s="692">
        <v>1039830.5</v>
      </c>
      <c r="C17" s="691">
        <v>22854</v>
      </c>
      <c r="D17" s="706">
        <v>1060727.3683435521</v>
      </c>
      <c r="E17" s="705">
        <v>23706.617344200004</v>
      </c>
      <c r="F17" s="698">
        <v>962353.40271410591</v>
      </c>
      <c r="G17" s="711">
        <v>19223.077545000004</v>
      </c>
      <c r="H17" s="716">
        <v>981456.61000867188</v>
      </c>
      <c r="I17" s="683">
        <v>19223.077545000004</v>
      </c>
    </row>
    <row r="18" spans="1:10" ht="15" thickBot="1" x14ac:dyDescent="0.4">
      <c r="A18" s="679">
        <v>2023</v>
      </c>
      <c r="B18" s="693">
        <v>1054525.7</v>
      </c>
      <c r="C18" s="694">
        <v>25178</v>
      </c>
      <c r="D18" s="707">
        <v>1103156.4630772942</v>
      </c>
      <c r="E18" s="708">
        <v>24435.283898358575</v>
      </c>
      <c r="F18" s="699">
        <v>976788.70375481737</v>
      </c>
      <c r="G18" s="712">
        <v>20396.697016168429</v>
      </c>
      <c r="H18" s="717">
        <v>1001085.7422088453</v>
      </c>
      <c r="I18" s="684">
        <v>20396.697016168429</v>
      </c>
    </row>
    <row r="19" spans="1:10" ht="15" thickBot="1" x14ac:dyDescent="0.4"/>
    <row r="20" spans="1:10" ht="15" thickBot="1" x14ac:dyDescent="0.4">
      <c r="A20" s="208" t="s">
        <v>101</v>
      </c>
      <c r="B20" s="210" t="s">
        <v>99</v>
      </c>
      <c r="C20" s="721" t="s">
        <v>100</v>
      </c>
    </row>
    <row r="21" spans="1:10" x14ac:dyDescent="0.35">
      <c r="A21" s="676">
        <v>2014</v>
      </c>
      <c r="B21" s="722">
        <v>236.73616666666666</v>
      </c>
      <c r="C21" s="720">
        <f t="shared" ref="C21:C31" si="0">$B$31/B21</f>
        <v>1.3418777725132831</v>
      </c>
      <c r="D21" s="641">
        <v>1.3418777725132831</v>
      </c>
    </row>
    <row r="22" spans="1:10" x14ac:dyDescent="0.35">
      <c r="A22" s="674">
        <v>2015</v>
      </c>
      <c r="B22" s="723">
        <v>237.01700000000002</v>
      </c>
      <c r="C22" s="718">
        <f t="shared" si="0"/>
        <v>1.3402878274554144</v>
      </c>
      <c r="D22" s="641">
        <v>1.3402878274554144</v>
      </c>
    </row>
    <row r="23" spans="1:10" x14ac:dyDescent="0.35">
      <c r="A23" s="674">
        <v>2016</v>
      </c>
      <c r="B23" s="723">
        <v>240.00716666666662</v>
      </c>
      <c r="C23" s="718">
        <f t="shared" si="0"/>
        <v>1.3235896428092775</v>
      </c>
      <c r="D23" s="641">
        <v>1.3235896428092775</v>
      </c>
    </row>
    <row r="24" spans="1:10" x14ac:dyDescent="0.35">
      <c r="A24" s="674">
        <v>2017</v>
      </c>
      <c r="B24" s="723">
        <v>245.11958333333334</v>
      </c>
      <c r="C24" s="718">
        <f t="shared" si="0"/>
        <v>1.29598376302723</v>
      </c>
      <c r="D24" s="641">
        <v>1.29598376302723</v>
      </c>
    </row>
    <row r="25" spans="1:10" x14ac:dyDescent="0.35">
      <c r="A25" s="674">
        <v>2018</v>
      </c>
      <c r="B25" s="723">
        <v>251.10683333333338</v>
      </c>
      <c r="C25" s="718">
        <f t="shared" si="0"/>
        <v>1.2650830556184252</v>
      </c>
      <c r="D25" s="641">
        <v>1.2650830556184252</v>
      </c>
    </row>
    <row r="26" spans="1:10" x14ac:dyDescent="0.35">
      <c r="A26" s="674">
        <v>2019</v>
      </c>
      <c r="B26" s="723">
        <v>255.65741666666668</v>
      </c>
      <c r="C26" s="718">
        <f t="shared" si="0"/>
        <v>1.2425651645154046</v>
      </c>
      <c r="D26" s="641">
        <v>1.2425651645154046</v>
      </c>
    </row>
    <row r="27" spans="1:10" x14ac:dyDescent="0.35">
      <c r="A27" s="674">
        <v>2020</v>
      </c>
      <c r="B27" s="723">
        <v>258.81116666666668</v>
      </c>
      <c r="C27" s="718">
        <f t="shared" si="0"/>
        <v>1.2274238553591517</v>
      </c>
      <c r="D27" s="641">
        <v>1.2274238553591517</v>
      </c>
    </row>
    <row r="28" spans="1:10" x14ac:dyDescent="0.35">
      <c r="A28" s="674">
        <v>2021</v>
      </c>
      <c r="B28" s="723">
        <v>270.96975000000003</v>
      </c>
      <c r="C28" s="718">
        <f t="shared" si="0"/>
        <v>1.1723485739644368</v>
      </c>
      <c r="D28" s="641">
        <v>1.1723485739644368</v>
      </c>
    </row>
    <row r="29" spans="1:10" x14ac:dyDescent="0.35">
      <c r="A29" s="674">
        <v>2022</v>
      </c>
      <c r="B29" s="723">
        <v>292.65491666666668</v>
      </c>
      <c r="C29" s="718">
        <f t="shared" si="0"/>
        <v>1.0854797985910025</v>
      </c>
      <c r="D29" s="641">
        <v>1.0854797985910025</v>
      </c>
    </row>
    <row r="30" spans="1:10" x14ac:dyDescent="0.35">
      <c r="A30" s="674">
        <v>2023</v>
      </c>
      <c r="B30" s="723">
        <v>304.7015833333333</v>
      </c>
      <c r="C30" s="718">
        <f t="shared" si="0"/>
        <v>1.0425643231806858</v>
      </c>
      <c r="D30" s="641">
        <v>1.0425643231806858</v>
      </c>
    </row>
    <row r="31" spans="1:10" ht="15" thickBot="1" x14ac:dyDescent="0.4">
      <c r="A31" s="675">
        <v>2025</v>
      </c>
      <c r="B31" s="724">
        <v>317.67099999999999</v>
      </c>
      <c r="C31" s="719">
        <f t="shared" si="0"/>
        <v>1</v>
      </c>
      <c r="D31" s="641">
        <v>1</v>
      </c>
    </row>
    <row r="32" spans="1:10" x14ac:dyDescent="0.35">
      <c r="J32" s="74"/>
    </row>
    <row r="34" spans="1:10" x14ac:dyDescent="0.35">
      <c r="A34" t="s">
        <v>372</v>
      </c>
    </row>
    <row r="35" spans="1:10" x14ac:dyDescent="0.35">
      <c r="A35" s="2">
        <v>2019</v>
      </c>
      <c r="B35" s="786" t="s">
        <v>366</v>
      </c>
      <c r="C35" s="786"/>
      <c r="D35" s="786"/>
      <c r="E35" s="786"/>
      <c r="F35" s="786"/>
      <c r="G35" s="786"/>
      <c r="H35" s="786"/>
      <c r="I35" s="786"/>
    </row>
    <row r="36" spans="1:10" x14ac:dyDescent="0.35">
      <c r="A36" s="2">
        <v>2020</v>
      </c>
      <c r="B36" s="786" t="s">
        <v>367</v>
      </c>
      <c r="C36" s="786"/>
      <c r="D36" s="786"/>
      <c r="E36" s="786"/>
      <c r="F36" s="786"/>
      <c r="G36" s="786"/>
      <c r="H36" s="786"/>
      <c r="I36" s="786"/>
    </row>
    <row r="37" spans="1:10" x14ac:dyDescent="0.35">
      <c r="A37" s="2">
        <v>2021</v>
      </c>
      <c r="B37" s="786" t="s">
        <v>368</v>
      </c>
      <c r="C37" s="786"/>
      <c r="D37" s="786"/>
      <c r="E37" s="786"/>
      <c r="F37" s="786"/>
      <c r="G37" s="786"/>
      <c r="H37" s="786"/>
      <c r="I37" s="786"/>
    </row>
    <row r="38" spans="1:10" x14ac:dyDescent="0.35">
      <c r="A38" s="2">
        <v>2022</v>
      </c>
      <c r="B38" s="786" t="s">
        <v>369</v>
      </c>
      <c r="C38" s="786"/>
      <c r="D38" s="786"/>
      <c r="E38" s="786"/>
      <c r="F38" s="786"/>
      <c r="G38" s="786"/>
      <c r="H38" s="786"/>
      <c r="I38" s="786"/>
    </row>
    <row r="39" spans="1:10" x14ac:dyDescent="0.35">
      <c r="A39" s="2">
        <v>2023</v>
      </c>
      <c r="B39" s="786" t="s">
        <v>370</v>
      </c>
      <c r="C39" s="786"/>
      <c r="D39" s="786"/>
      <c r="E39" s="786"/>
      <c r="F39" s="786"/>
      <c r="G39" s="786"/>
      <c r="H39" s="786"/>
      <c r="I39" s="786"/>
    </row>
    <row r="40" spans="1:10" ht="29" x14ac:dyDescent="0.35">
      <c r="A40" s="672" t="s">
        <v>373</v>
      </c>
      <c r="B40" s="902" t="s">
        <v>270</v>
      </c>
      <c r="C40" s="902"/>
      <c r="D40" s="902"/>
      <c r="E40" s="902"/>
      <c r="F40" s="902"/>
      <c r="G40" s="902"/>
      <c r="H40" s="902"/>
      <c r="I40" s="902"/>
    </row>
    <row r="41" spans="1:10" ht="14.5" customHeight="1" x14ac:dyDescent="0.35">
      <c r="A41" s="2" t="s">
        <v>99</v>
      </c>
      <c r="B41" s="786" t="s">
        <v>176</v>
      </c>
      <c r="C41" s="786"/>
      <c r="D41" s="786"/>
      <c r="E41" s="786"/>
      <c r="F41" s="786"/>
      <c r="G41" s="786"/>
      <c r="H41" s="786"/>
    </row>
    <row r="45" spans="1:10" x14ac:dyDescent="0.35">
      <c r="A45" s="27" t="s">
        <v>344</v>
      </c>
      <c r="B45" s="3"/>
      <c r="C45" s="3"/>
      <c r="D45" s="3"/>
      <c r="E45" s="3"/>
      <c r="F45" s="3"/>
      <c r="G45" s="3"/>
      <c r="H45" s="3"/>
      <c r="I45" s="3"/>
      <c r="J45" s="3"/>
    </row>
    <row r="46" spans="1:10" x14ac:dyDescent="0.35">
      <c r="A46" s="876" t="s">
        <v>382</v>
      </c>
      <c r="B46" s="876"/>
      <c r="C46" s="876"/>
      <c r="D46" s="876"/>
      <c r="E46" s="876"/>
      <c r="F46" s="876"/>
      <c r="G46" s="876"/>
      <c r="H46" s="876"/>
      <c r="I46" s="876"/>
      <c r="J46" s="876"/>
    </row>
  </sheetData>
  <mergeCells count="14">
    <mergeCell ref="A46:J46"/>
    <mergeCell ref="B41:H41"/>
    <mergeCell ref="A1:I1"/>
    <mergeCell ref="A7:A8"/>
    <mergeCell ref="B7:C7"/>
    <mergeCell ref="D7:E7"/>
    <mergeCell ref="F7:G7"/>
    <mergeCell ref="H7:I7"/>
    <mergeCell ref="B35:I35"/>
    <mergeCell ref="B36:I36"/>
    <mergeCell ref="B37:I37"/>
    <mergeCell ref="B38:I38"/>
    <mergeCell ref="B39:I39"/>
    <mergeCell ref="B40:I40"/>
  </mergeCells>
  <hyperlinks>
    <hyperlink ref="A2" location="'Outcome Analysis'!A1" display="Go to Outcome Analysis" xr:uid="{A6F80F7B-7ED4-42FB-A929-EE7A2D45551F}"/>
    <hyperlink ref="B35" r:id="rId1" xr:uid="{400FCFFB-7F56-4AA8-9D5E-8D6CA7959F82}"/>
    <hyperlink ref="B36" r:id="rId2" xr:uid="{14177EA5-E5DD-4326-8311-621218A30D7A}"/>
    <hyperlink ref="B37" r:id="rId3" xr:uid="{A0CDDA1D-1185-4792-AEEA-9CFD06DBDF05}"/>
    <hyperlink ref="B38" r:id="rId4" xr:uid="{5008F9E6-EF90-4D3D-B881-C1D508D4B21F}"/>
    <hyperlink ref="B39" r:id="rId5" xr:uid="{0C08E999-4CD1-488A-952B-BD0B2EF75817}"/>
    <hyperlink ref="B40" r:id="rId6" xr:uid="{32408B6F-F714-4028-803F-40126AD93D93}"/>
    <hyperlink ref="B41" r:id="rId7" xr:uid="{ADE281B0-9AFD-4B4C-B66C-7ED6203F77D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91F9F-10A4-49F4-A58F-C340BC6C42BE}">
  <dimension ref="A1:P17"/>
  <sheetViews>
    <sheetView workbookViewId="0">
      <selection activeCell="A3" sqref="A3"/>
    </sheetView>
  </sheetViews>
  <sheetFormatPr defaultRowHeight="14.5" x14ac:dyDescent="0.35"/>
  <sheetData>
    <row r="1" spans="1:16" ht="20" thickBot="1" x14ac:dyDescent="0.5">
      <c r="A1" s="875" t="s">
        <v>383</v>
      </c>
      <c r="B1" s="875"/>
      <c r="C1" s="875"/>
      <c r="D1" s="875"/>
      <c r="E1" s="875"/>
      <c r="F1" s="875"/>
      <c r="G1" s="875"/>
      <c r="H1" s="875"/>
      <c r="I1" s="875"/>
      <c r="J1" s="875"/>
      <c r="K1" s="875"/>
      <c r="L1" s="875"/>
      <c r="M1" s="875"/>
      <c r="N1" s="875"/>
      <c r="O1" s="875"/>
      <c r="P1" s="875"/>
    </row>
    <row r="2" spans="1:16" ht="15" thickTop="1" x14ac:dyDescent="0.35">
      <c r="A2" s="9" t="s">
        <v>35</v>
      </c>
    </row>
    <row r="16" spans="1:16" ht="14.5" customHeight="1" x14ac:dyDescent="0.35">
      <c r="A16" s="903" t="s">
        <v>350</v>
      </c>
      <c r="B16" s="903"/>
      <c r="C16" s="903"/>
      <c r="D16" s="903"/>
      <c r="E16" s="903"/>
      <c r="F16" s="903"/>
      <c r="G16" s="903"/>
      <c r="H16" s="903"/>
      <c r="I16" s="903"/>
      <c r="J16" s="903"/>
      <c r="K16" s="903"/>
      <c r="L16" s="903"/>
      <c r="M16" s="903"/>
      <c r="N16" s="903"/>
      <c r="O16" s="903"/>
      <c r="P16" s="903"/>
    </row>
    <row r="17" spans="1:16" x14ac:dyDescent="0.35">
      <c r="A17" s="903"/>
      <c r="B17" s="903"/>
      <c r="C17" s="903"/>
      <c r="D17" s="903"/>
      <c r="E17" s="903"/>
      <c r="F17" s="903"/>
      <c r="G17" s="903"/>
      <c r="H17" s="903"/>
      <c r="I17" s="903"/>
      <c r="J17" s="903"/>
      <c r="K17" s="903"/>
      <c r="L17" s="903"/>
      <c r="M17" s="903"/>
      <c r="N17" s="903"/>
      <c r="O17" s="903"/>
      <c r="P17" s="903"/>
    </row>
  </sheetData>
  <mergeCells count="2">
    <mergeCell ref="A1:P1"/>
    <mergeCell ref="A16:P17"/>
  </mergeCells>
  <hyperlinks>
    <hyperlink ref="A2" location="Home!A1" display="Go to Home" xr:uid="{1CCD197B-DDA5-42B3-BED1-222C0336232C}"/>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Home</vt:lpstr>
      <vt:lpstr>Overview</vt:lpstr>
      <vt:lpstr>Balance Sheet</vt:lpstr>
      <vt:lpstr>CF Statement</vt:lpstr>
      <vt:lpstr>Ratios</vt:lpstr>
      <vt:lpstr>Segment Analysis</vt:lpstr>
      <vt:lpstr>Quarterly Data</vt:lpstr>
      <vt:lpstr>Market Research</vt:lpstr>
      <vt:lpstr>Assumed growth</vt:lpstr>
      <vt:lpstr>Forecast</vt:lpstr>
      <vt:lpstr>References</vt:lpstr>
      <vt:lpstr>Summary</vt:lpstr>
      <vt:lpstr>Outcome Analysis</vt:lpstr>
      <vt:lpstr>Data Source</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Joshi</dc:creator>
  <cp:lastModifiedBy>Pranav Joshi</cp:lastModifiedBy>
  <cp:lastPrinted>2025-02-27T07:09:05Z</cp:lastPrinted>
  <dcterms:created xsi:type="dcterms:W3CDTF">2024-12-30T12:43:44Z</dcterms:created>
  <dcterms:modified xsi:type="dcterms:W3CDTF">2025-10-12T15:13:37Z</dcterms:modified>
</cp:coreProperties>
</file>